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duan &amp; Ringkasan" sheetId="1" state="visible" r:id="rId1"/>
    <sheet name="Aturan Amplop" sheetId="2" state="visible" r:id="rId2"/>
    <sheet name="Arus Kas Bulanan" sheetId="3" state="visible" r:id="rId3"/>
    <sheet name="Dashboard Bulanan"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6E6B"/>
      <sz val="14"/>
    </font>
    <font>
      <i val="1"/>
      <color rgb="005B6472"/>
    </font>
    <font>
      <b val="1"/>
      <color rgb="00FFFFFF"/>
      <sz val="11"/>
    </font>
    <font>
      <b val="1"/>
    </font>
    <font>
      <b val="1"/>
      <color rgb="00C07A2B"/>
    </font>
  </fonts>
  <fills count="3">
    <fill>
      <patternFill/>
    </fill>
    <fill>
      <patternFill patternType="gray125"/>
    </fill>
    <fill>
      <patternFill patternType="solid">
        <fgColor rgb="000B6E6B"/>
        <bgColor rgb="000B6E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0" fillId="0" borderId="1" pivotButton="0" quotePrefix="0" xfId="0"/>
    <xf numFmtId="9" fontId="0" fillId="0" borderId="1" pivotButton="0" quotePrefix="0" xfId="0"/>
    <xf numFmtId="0" fontId="4" fillId="0" borderId="0" pivotButton="0" quotePrefix="0" xfId="0"/>
    <xf numFmtId="0" fontId="5" fillId="0" borderId="0" pivotButton="0" quotePrefix="0" xfId="0"/>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5" topLeftCell="A6" activePane="bottomLeft" state="frozen"/>
      <selection pane="bottomLeft" activeCell="A1" sqref="A1"/>
    </sheetView>
  </sheetViews>
  <sheetFormatPr baseColWidth="8" defaultRowHeight="15"/>
  <cols>
    <col width="14" customWidth="1" min="1" max="1"/>
    <col width="23" customWidth="1" min="2" max="2"/>
  </cols>
  <sheetData>
    <row r="1">
      <c r="A1" s="1" t="inlineStr">
        <is>
          <t>Panduan &amp; Ringkasan</t>
        </is>
      </c>
    </row>
    <row r="2">
      <c r="A2" t="inlineStr">
        <is>
          <t>Memberi instruksi penggunaan singkat dan menampilkan ringkasan kondisi keuangan freelancer dalam satu tempat.</t>
        </is>
      </c>
    </row>
    <row r="3">
      <c r="A3" s="2" t="inlineStr">
        <is>
          <t>Gunakan workbook ini sebulan sekali selama 30 menit. Langkah 1: isi target persentase amplop di sheet 'Aturan Amplop'. Langkah 2: catat semua pemasukan dan pengeluaran di sheet 'Arus Kas Bulanan'. Langkah 3: cek apakah penyisihan pajak, dana tenang, dan operasional sudah sesuai. Fokus utamanya bukan mencatat sempurna, tetapi memastikan setiap pemasukan langsung dibagi otomatis agar tidak habis tanpa arah.</t>
        </is>
      </c>
    </row>
    <row r="5">
      <c r="A5" s="3" t="inlineStr">
        <is>
          <t>Bagian</t>
        </is>
      </c>
      <c r="B5" s="3" t="inlineStr">
        <is>
          <t>Nilai / Catatan</t>
        </is>
      </c>
    </row>
    <row r="6">
      <c r="A6" s="4" t="inlineStr">
        <is>
          <t>Tujuan Sistem</t>
        </is>
      </c>
      <c r="B6" s="4" t="inlineStr">
        <is>
          <t>Menenangkan arus kas freelancer meski pemasukan naik-turun</t>
        </is>
      </c>
    </row>
    <row r="7">
      <c r="A7" s="4" t="inlineStr">
        <is>
          <t>Rutinitas Bulanan</t>
        </is>
      </c>
      <c r="B7" s="4" t="inlineStr">
        <is>
          <t>1) Update transaksi 2) Cek pembagian amplop 3) Lihat sisa aman</t>
        </is>
      </c>
    </row>
    <row r="8">
      <c r="A8" s="4" t="inlineStr">
        <is>
          <t>Aturan Emas</t>
        </is>
      </c>
      <c r="B8" s="4" t="inlineStr">
        <is>
          <t>Setiap pemasukan wajib dibagi ke amplop pada hari yang sama</t>
        </is>
      </c>
    </row>
    <row r="9">
      <c r="A9" s="4" t="inlineStr">
        <is>
          <t>Prioritas</t>
        </is>
      </c>
      <c r="B9" s="4" t="inlineStr">
        <is>
          <t>Pajak, kebutuhan pribadi, operasional, dana tenang, tabungan tujuan</t>
        </is>
      </c>
    </row>
    <row r="10">
      <c r="A10" s="4" t="inlineStr">
        <is>
          <t>Indikator Sehat</t>
        </is>
      </c>
      <c r="B10" s="4" t="inlineStr">
        <is>
          <t>Pajak terisi, dana tenang bertambah, pengeluaran pribadi terkendali</t>
        </is>
      </c>
    </row>
    <row r="11">
      <c r="A11" s="4" t="n"/>
      <c r="B11" s="4" t="n"/>
    </row>
    <row r="12">
      <c r="A12" s="4" t="n"/>
      <c r="B12" s="4" t="n"/>
    </row>
    <row r="13">
      <c r="A13" s="4" t="n"/>
      <c r="B13"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5" topLeftCell="A6" activePane="bottomLeft" state="frozen"/>
      <selection pane="bottomLeft" activeCell="A1" sqref="A1"/>
    </sheetView>
  </sheetViews>
  <sheetFormatPr baseColWidth="8" defaultRowHeight="15"/>
  <cols>
    <col width="14" customWidth="1" min="1" max="1"/>
    <col width="17" customWidth="1" min="2" max="2"/>
    <col width="25" customWidth="1" min="3" max="3"/>
    <col width="31" customWidth="1" min="4" max="4"/>
    <col width="22" customWidth="1" min="5" max="5"/>
  </cols>
  <sheetData>
    <row r="1">
      <c r="A1" s="1" t="inlineStr">
        <is>
          <t>Aturan Amplop</t>
        </is>
      </c>
    </row>
    <row r="2">
      <c r="A2" t="inlineStr">
        <is>
          <t>Menetapkan persentase pembagian otomatis dari setiap pemasukan agar freelancer tidak perlu berpikir ulang setiap kali menerima bayaran.</t>
        </is>
      </c>
    </row>
    <row r="3">
      <c r="A3" s="2" t="inlineStr">
        <is>
          <t>Isi persentase target untuk setiap amplop. Total idealnya 100%. Nominal per Rp1.000.000 membantu melihat simulasi pembagian. Sesuaikan dengan kondisi Anda, tetapi prioritaskan pajak dan dana tenang terlebih dahulu.</t>
        </is>
      </c>
    </row>
    <row r="5">
      <c r="A5" s="3" t="inlineStr">
        <is>
          <t>Amplop</t>
        </is>
      </c>
      <c r="B5" s="3" t="inlineStr">
        <is>
          <t>Prioritas</t>
        </is>
      </c>
      <c r="C5" s="3" t="inlineStr">
        <is>
          <t>Persentase Target</t>
        </is>
      </c>
      <c r="D5" s="3" t="inlineStr">
        <is>
          <t>Nominal per Rp1.000.000</t>
        </is>
      </c>
      <c r="E5" s="3" t="inlineStr">
        <is>
          <t>Catatan Fungsi</t>
        </is>
      </c>
    </row>
    <row r="6">
      <c r="A6" s="4" t="inlineStr">
        <is>
          <t>Pajak</t>
        </is>
      </c>
      <c r="B6" s="4" t="inlineStr">
        <is>
          <t>Wajib</t>
        </is>
      </c>
      <c r="C6" s="5" t="n">
        <v>0.15</v>
      </c>
      <c r="D6" s="4">
        <f>1000000*C2</f>
        <v/>
      </c>
      <c r="E6" s="4" t="inlineStr">
        <is>
          <t>Sisihkan untuk PPh/final agar tidak kaget saat setor</t>
        </is>
      </c>
    </row>
    <row r="7">
      <c r="A7" s="4" t="inlineStr">
        <is>
          <t>Kebutuhan Pribadi</t>
        </is>
      </c>
      <c r="B7" s="4" t="inlineStr">
        <is>
          <t>Wajib</t>
        </is>
      </c>
      <c r="C7" s="5" t="n">
        <v>0.4</v>
      </c>
      <c r="D7" s="4">
        <f>1000000*C3</f>
        <v/>
      </c>
      <c r="E7" s="4" t="inlineStr">
        <is>
          <t>Biaya hidup bulanan pribadi</t>
        </is>
      </c>
    </row>
    <row r="8">
      <c r="A8" s="4" t="inlineStr">
        <is>
          <t>Operasional Kerja</t>
        </is>
      </c>
      <c r="B8" s="4" t="inlineStr">
        <is>
          <t>Penting</t>
        </is>
      </c>
      <c r="C8" s="5" t="n">
        <v>0.15</v>
      </c>
      <c r="D8" s="4">
        <f>1000000*C4</f>
        <v/>
      </c>
      <c r="E8" s="4" t="inlineStr">
        <is>
          <t>Internet, software, coworking, alat kerja</t>
        </is>
      </c>
    </row>
    <row r="9">
      <c r="A9" s="4" t="inlineStr">
        <is>
          <t>Dana Tenang</t>
        </is>
      </c>
      <c r="B9" s="4" t="inlineStr">
        <is>
          <t>Penting</t>
        </is>
      </c>
      <c r="C9" s="5" t="n">
        <v>0.2</v>
      </c>
      <c r="D9" s="4">
        <f>1000000*C5</f>
        <v/>
      </c>
      <c r="E9" s="4" t="inlineStr">
        <is>
          <t>Buffer saat bulan sepi proyek</t>
        </is>
      </c>
    </row>
    <row r="10">
      <c r="A10" s="4" t="inlineStr">
        <is>
          <t>Tabungan Tujuan</t>
        </is>
      </c>
      <c r="B10" s="4" t="inlineStr">
        <is>
          <t>Penting</t>
        </is>
      </c>
      <c r="C10" s="5" t="n">
        <v>0.1</v>
      </c>
      <c r="D10" s="4">
        <f>1000000*C6</f>
        <v/>
      </c>
      <c r="E10" s="4" t="inlineStr">
        <is>
          <t>Laptop baru, liburan, kursus</t>
        </is>
      </c>
    </row>
    <row r="11">
      <c r="A11" s="4" t="n"/>
      <c r="B11" s="4" t="n"/>
      <c r="C11" s="4" t="n"/>
      <c r="D11" s="4" t="n"/>
      <c r="E11" s="4" t="n"/>
    </row>
    <row r="12">
      <c r="A12" s="4" t="n"/>
      <c r="B12" s="4" t="n"/>
      <c r="C12" s="4" t="n"/>
      <c r="D12" s="4" t="n"/>
      <c r="E12" s="4" t="n"/>
    </row>
    <row r="13">
      <c r="A13" s="4" t="n"/>
      <c r="B13" s="4" t="n"/>
      <c r="C13" s="4" t="n"/>
      <c r="D13" s="4" t="n"/>
      <c r="E13" s="4" t="n"/>
    </row>
    <row r="15">
      <c r="A15" s="6" t="inlineStr">
        <is>
          <t>Total Persentase</t>
        </is>
      </c>
      <c r="C15" s="7">
        <f>SUM(C6:C13)</f>
        <v/>
      </c>
    </row>
    <row r="16">
      <c r="A16" s="6" t="inlineStr">
        <is>
          <t>Total Simulasi</t>
        </is>
      </c>
      <c r="D16" s="7">
        <f>SUM(D6:D13)</f>
        <v/>
      </c>
    </row>
  </sheetData>
  <dataValidations count="1">
    <dataValidation sqref="B6:B18" showDropDown="0" showInputMessage="0" showErrorMessage="0" allowBlank="1" type="list">
      <formula1>"Wajib,Penting,Opsional"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15" customWidth="1" min="1" max="1"/>
    <col width="14" customWidth="1" min="2" max="2"/>
    <col width="14" customWidth="1" min="3" max="3"/>
    <col width="26" customWidth="1" min="4" max="4"/>
    <col width="16" customWidth="1" min="5" max="5"/>
    <col width="21" customWidth="1" min="6" max="6"/>
    <col width="22" customWidth="1" min="7" max="7"/>
    <col width="24" customWidth="1" min="8" max="8"/>
    <col width="25" customWidth="1" min="9" max="9"/>
    <col width="30" customWidth="1" min="10" max="10"/>
    <col width="30" customWidth="1" min="11" max="11"/>
    <col width="23" customWidth="1" min="12" max="12"/>
    <col width="23" customWidth="1" min="13" max="13"/>
  </cols>
  <sheetData>
    <row r="1">
      <c r="A1" s="1" t="inlineStr">
        <is>
          <t>Arus Kas Bulanan</t>
        </is>
      </c>
    </row>
    <row r="2">
      <c r="A2" t="inlineStr">
        <is>
          <t>Mencatat pemasukan dan pengeluaran bulanan sekaligus menghitung pembagian otomatis untuk setiap pemasukan berdasarkan metode Amplop Digital.</t>
        </is>
      </c>
    </row>
    <row r="3">
      <c r="A3" s="2" t="inlineStr">
        <is>
          <t>Setiap baris adalah satu transaksi. Pilih jenis transaksi. Untuk baris pemasukan, isi nominal masuk dan persentase amplop akan menghitung nominal penyisihan otomatis. Untuk baris pengeluaran, isi kategori dan nominal keluar. Sheet ini membantu melihat berapa uang yang aman dipakai dan berapa yang harus disisihkan.</t>
        </is>
      </c>
    </row>
    <row r="5">
      <c r="A5" s="3" t="inlineStr">
        <is>
          <t>Tanggal</t>
        </is>
      </c>
      <c r="B5" s="3" t="inlineStr">
        <is>
          <t>Bulan</t>
        </is>
      </c>
      <c r="C5" s="3" t="inlineStr">
        <is>
          <t>Jenis</t>
        </is>
      </c>
      <c r="D5" s="3" t="inlineStr">
        <is>
          <t>Sumber / Deskripsi</t>
        </is>
      </c>
      <c r="E5" s="3" t="inlineStr">
        <is>
          <t>Kategori</t>
        </is>
      </c>
      <c r="F5" s="3" t="inlineStr">
        <is>
          <t>Nominal Masuk</t>
        </is>
      </c>
      <c r="G5" s="3" t="inlineStr">
        <is>
          <t>Nominal Keluar</t>
        </is>
      </c>
      <c r="H5" s="3" t="inlineStr">
        <is>
          <t>Pajak Disisihkan</t>
        </is>
      </c>
      <c r="I5" s="3" t="inlineStr">
        <is>
          <t>Kebutuhan Pribadi</t>
        </is>
      </c>
      <c r="J5" s="3" t="inlineStr">
        <is>
          <t>Operasional Disisihkan</t>
        </is>
      </c>
      <c r="K5" s="3" t="inlineStr">
        <is>
          <t>Dana Tenang Disisihkan</t>
        </is>
      </c>
      <c r="L5" s="3" t="inlineStr">
        <is>
          <t>Tabungan Tujuan</t>
        </is>
      </c>
      <c r="M5" s="3" t="inlineStr">
        <is>
          <t>Arus Kas Bersih</t>
        </is>
      </c>
    </row>
    <row r="6">
      <c r="A6" s="4" t="inlineStr">
        <is>
          <t>2026-09-02</t>
        </is>
      </c>
      <c r="B6" s="4" t="inlineStr">
        <is>
          <t>September 2026</t>
        </is>
      </c>
      <c r="C6" s="4" t="inlineStr">
        <is>
          <t>Pemasukan</t>
        </is>
      </c>
      <c r="D6" s="4" t="inlineStr">
        <is>
          <t>Proyek desain logo - Klien A</t>
        </is>
      </c>
      <c r="E6" s="4" t="inlineStr">
        <is>
          <t>Klien</t>
        </is>
      </c>
      <c r="F6" s="8" t="n">
        <v>3500000</v>
      </c>
      <c r="G6" s="8" t="n">
        <v>0</v>
      </c>
      <c r="H6" s="4">
        <f>IF(C2="Pemasukan",F2*0.15,0)</f>
        <v/>
      </c>
      <c r="I6" s="4">
        <f>IF(C2="Pemasukan",F2*0.4,0)</f>
        <v/>
      </c>
      <c r="J6" s="4">
        <f>IF(C2="Pemasukan",F2*0.15,0)</f>
        <v/>
      </c>
      <c r="K6" s="4">
        <f>IF(C2="Pemasukan",F2*0.2,0)</f>
        <v/>
      </c>
      <c r="L6" s="4">
        <f>IF(C2="Pemasukan",F2*0.1,0)</f>
        <v/>
      </c>
      <c r="M6" s="4">
        <f>F2-G2</f>
        <v/>
      </c>
    </row>
    <row r="7">
      <c r="A7" s="4" t="inlineStr">
        <is>
          <t>2026-09-05</t>
        </is>
      </c>
      <c r="B7" s="4" t="inlineStr">
        <is>
          <t>September 2026</t>
        </is>
      </c>
      <c r="C7" s="4" t="inlineStr">
        <is>
          <t>Pengeluaran</t>
        </is>
      </c>
      <c r="D7" s="4" t="inlineStr">
        <is>
          <t>Bayar internet rumah</t>
        </is>
      </c>
      <c r="E7" s="4" t="inlineStr">
        <is>
          <t>Operasional Kerja</t>
        </is>
      </c>
      <c r="F7" s="8" t="n">
        <v>0</v>
      </c>
      <c r="G7" s="8" t="n">
        <v>450000</v>
      </c>
      <c r="H7" s="4">
        <f>IF(C3="Pemasukan",F3*0.15,0)</f>
        <v/>
      </c>
      <c r="I7" s="4">
        <f>IF(C3="Pemasukan",F3*0.4,0)</f>
        <v/>
      </c>
      <c r="J7" s="4">
        <f>IF(C3="Pemasukan",F3*0.15,0)</f>
        <v/>
      </c>
      <c r="K7" s="4">
        <f>IF(C3="Pemasukan",F3*0.2,0)</f>
        <v/>
      </c>
      <c r="L7" s="4">
        <f>IF(C3="Pemasukan",F3*0.1,0)</f>
        <v/>
      </c>
      <c r="M7" s="4">
        <f>F3-G3</f>
        <v/>
      </c>
    </row>
    <row r="8">
      <c r="A8" s="4" t="inlineStr">
        <is>
          <t>2026-09-08</t>
        </is>
      </c>
      <c r="B8" s="4" t="inlineStr">
        <is>
          <t>September 2026</t>
        </is>
      </c>
      <c r="C8" s="4" t="inlineStr">
        <is>
          <t>Pemasukan</t>
        </is>
      </c>
      <c r="D8" s="4" t="inlineStr">
        <is>
          <t>Retainer konten - Klien B</t>
        </is>
      </c>
      <c r="E8" s="4" t="inlineStr">
        <is>
          <t>Retainer</t>
        </is>
      </c>
      <c r="F8" s="8" t="n">
        <v>5000000</v>
      </c>
      <c r="G8" s="8" t="n">
        <v>0</v>
      </c>
      <c r="H8" s="4">
        <f>IF(C4="Pemasukan",F4*0.15,0)</f>
        <v/>
      </c>
      <c r="I8" s="4">
        <f>IF(C4="Pemasukan",F4*0.4,0)</f>
        <v/>
      </c>
      <c r="J8" s="4">
        <f>IF(C4="Pemasukan",F4*0.15,0)</f>
        <v/>
      </c>
      <c r="K8" s="4">
        <f>IF(C4="Pemasukan",F4*0.2,0)</f>
        <v/>
      </c>
      <c r="L8" s="4">
        <f>IF(C4="Pemasukan",F4*0.1,0)</f>
        <v/>
      </c>
      <c r="M8" s="4">
        <f>F4-G4</f>
        <v/>
      </c>
    </row>
    <row r="9">
      <c r="A9" s="4" t="inlineStr">
        <is>
          <t>2026-09-12</t>
        </is>
      </c>
      <c r="B9" s="4" t="inlineStr">
        <is>
          <t>September 2026</t>
        </is>
      </c>
      <c r="C9" s="4" t="inlineStr">
        <is>
          <t>Pengeluaran</t>
        </is>
      </c>
      <c r="D9" s="4" t="inlineStr">
        <is>
          <t>Belanja bulanan</t>
        </is>
      </c>
      <c r="E9" s="4" t="inlineStr">
        <is>
          <t>Kebutuhan Pribadi</t>
        </is>
      </c>
      <c r="F9" s="8" t="n">
        <v>0</v>
      </c>
      <c r="G9" s="8" t="n">
        <v>1200000</v>
      </c>
      <c r="H9" s="4">
        <f>IF(C5="Pemasukan",F5*0.15,0)</f>
        <v/>
      </c>
      <c r="I9" s="4">
        <f>IF(C5="Pemasukan",F5*0.4,0)</f>
        <v/>
      </c>
      <c r="J9" s="4">
        <f>IF(C5="Pemasukan",F5*0.15,0)</f>
        <v/>
      </c>
      <c r="K9" s="4">
        <f>IF(C5="Pemasukan",F5*0.2,0)</f>
        <v/>
      </c>
      <c r="L9" s="4">
        <f>IF(C5="Pemasukan",F5*0.1,0)</f>
        <v/>
      </c>
      <c r="M9" s="4">
        <f>F5-G5</f>
        <v/>
      </c>
    </row>
    <row r="10">
      <c r="A10" s="4" t="inlineStr">
        <is>
          <t>2026-09-20</t>
        </is>
      </c>
      <c r="B10" s="4" t="inlineStr">
        <is>
          <t>September 2026</t>
        </is>
      </c>
      <c r="C10" s="4" t="inlineStr">
        <is>
          <t>Pemasukan</t>
        </is>
      </c>
      <c r="D10" s="4" t="inlineStr">
        <is>
          <t>Bonus revisi cepat</t>
        </is>
      </c>
      <c r="E10" s="4" t="inlineStr">
        <is>
          <t>Bonus</t>
        </is>
      </c>
      <c r="F10" s="8" t="n">
        <v>800000</v>
      </c>
      <c r="G10" s="8" t="n">
        <v>0</v>
      </c>
      <c r="H10" s="4">
        <f>IF(C6="Pemasukan",F6*0.15,0)</f>
        <v/>
      </c>
      <c r="I10" s="4">
        <f>IF(C6="Pemasukan",F6*0.4,0)</f>
        <v/>
      </c>
      <c r="J10" s="4">
        <f>IF(C6="Pemasukan",F6*0.15,0)</f>
        <v/>
      </c>
      <c r="K10" s="4">
        <f>IF(C6="Pemasukan",F6*0.2,0)</f>
        <v/>
      </c>
      <c r="L10" s="4">
        <f>IF(C6="Pemasukan",F6*0.1,0)</f>
        <v/>
      </c>
      <c r="M10" s="4">
        <f>F6-G6</f>
        <v/>
      </c>
    </row>
    <row r="11">
      <c r="A11" s="4" t="inlineStr">
        <is>
          <t>2026-09-25</t>
        </is>
      </c>
      <c r="B11" s="4" t="inlineStr">
        <is>
          <t>September 2026</t>
        </is>
      </c>
      <c r="C11" s="4" t="inlineStr">
        <is>
          <t>Pengeluaran</t>
        </is>
      </c>
      <c r="D11" s="4" t="inlineStr">
        <is>
          <t>Canva Pro tahunan</t>
        </is>
      </c>
      <c r="E11" s="4" t="inlineStr">
        <is>
          <t>Operasional Kerja</t>
        </is>
      </c>
      <c r="F11" s="8" t="n">
        <v>0</v>
      </c>
      <c r="G11" s="8" t="n">
        <v>950000</v>
      </c>
      <c r="H11" s="4">
        <f>IF(C7="Pemasukan",F7*0.15,0)</f>
        <v/>
      </c>
      <c r="I11" s="4">
        <f>IF(C7="Pemasukan",F7*0.4,0)</f>
        <v/>
      </c>
      <c r="J11" s="4">
        <f>IF(C7="Pemasukan",F7*0.15,0)</f>
        <v/>
      </c>
      <c r="K11" s="4">
        <f>IF(C7="Pemasukan",F7*0.2,0)</f>
        <v/>
      </c>
      <c r="L11" s="4">
        <f>IF(C7="Pemasukan",F7*0.1,0)</f>
        <v/>
      </c>
      <c r="M11" s="4">
        <f>F7-G7</f>
        <v/>
      </c>
    </row>
    <row r="12">
      <c r="A12" s="4" t="n"/>
      <c r="B12" s="4" t="n"/>
      <c r="C12" s="4" t="n"/>
      <c r="D12" s="4" t="n"/>
      <c r="E12" s="4" t="n"/>
      <c r="F12" s="4" t="n"/>
      <c r="G12" s="4" t="n"/>
      <c r="H12" s="4" t="n"/>
      <c r="I12" s="4" t="n"/>
      <c r="J12" s="4" t="n"/>
      <c r="K12" s="4" t="n"/>
      <c r="L12" s="4" t="n"/>
      <c r="M12" s="4" t="n"/>
    </row>
    <row r="13">
      <c r="A13" s="4" t="n"/>
      <c r="B13" s="4" t="n"/>
      <c r="C13" s="4" t="n"/>
      <c r="D13" s="4" t="n"/>
      <c r="E13" s="4" t="n"/>
      <c r="F13" s="4" t="n"/>
      <c r="G13" s="4" t="n"/>
      <c r="H13" s="4" t="n"/>
      <c r="I13" s="4" t="n"/>
      <c r="J13" s="4" t="n"/>
      <c r="K13" s="4" t="n"/>
      <c r="L13" s="4" t="n"/>
      <c r="M13" s="4" t="n"/>
    </row>
    <row r="14">
      <c r="A14" s="4" t="n"/>
      <c r="B14" s="4" t="n"/>
      <c r="C14" s="4" t="n"/>
      <c r="D14" s="4" t="n"/>
      <c r="E14" s="4" t="n"/>
      <c r="F14" s="4" t="n"/>
      <c r="G14" s="4" t="n"/>
      <c r="H14" s="4" t="n"/>
      <c r="I14" s="4" t="n"/>
      <c r="J14" s="4" t="n"/>
      <c r="K14" s="4" t="n"/>
      <c r="L14" s="4" t="n"/>
      <c r="M14" s="4" t="n"/>
    </row>
    <row r="16">
      <c r="A16" s="6" t="inlineStr">
        <is>
          <t>Total Pemasukan</t>
        </is>
      </c>
      <c r="F16" s="7">
        <f>SUM(F6:F14)</f>
        <v/>
      </c>
    </row>
    <row r="17">
      <c r="A17" s="6" t="inlineStr">
        <is>
          <t>Total Pengeluaran</t>
        </is>
      </c>
      <c r="G17" s="7">
        <f>SUM(G6:G14)</f>
        <v/>
      </c>
    </row>
    <row r="18">
      <c r="A18" s="6" t="inlineStr">
        <is>
          <t>Total Pajak Disisihkan</t>
        </is>
      </c>
      <c r="H18" s="7">
        <f>SUM(H6:H14)</f>
        <v/>
      </c>
    </row>
    <row r="19">
      <c r="A19" s="6" t="inlineStr">
        <is>
          <t>Total Dana Tenang</t>
        </is>
      </c>
      <c r="K19" s="7">
        <f>SUM(K6:K14)</f>
        <v/>
      </c>
    </row>
    <row r="20">
      <c r="A20" s="6" t="inlineStr">
        <is>
          <t>Total Arus Kas Bersih</t>
        </is>
      </c>
      <c r="M20" s="7">
        <f>SUM(M6:M14)</f>
        <v/>
      </c>
    </row>
  </sheetData>
  <dataValidations count="2">
    <dataValidation sqref="C6:C19" showDropDown="0" showInputMessage="0" showErrorMessage="0" allowBlank="1" type="list">
      <formula1>"Pemasukan,Pengeluaran"</formula1>
    </dataValidation>
    <dataValidation sqref="E6:E19" showDropDown="0" showInputMessage="0" showErrorMessage="0" allowBlank="1" type="list">
      <formula1>"Klien,Retainer,Bonus,Kebutuhan Pribadi,Operasional Kerja,Pajak,Dana Tenang,Tabungan Tujuan,Lainnya"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5" topLeftCell="A6" activePane="bottomLeft" state="frozen"/>
      <selection pane="bottomLeft" activeCell="A1" sqref="A1"/>
    </sheetView>
  </sheetViews>
  <sheetFormatPr baseColWidth="8" defaultRowHeight="15"/>
  <cols>
    <col width="14" customWidth="1" min="1" max="1"/>
    <col width="23" customWidth="1" min="2" max="2"/>
    <col width="25" customWidth="1" min="3" max="3"/>
    <col width="30" customWidth="1" min="4" max="4"/>
    <col width="25" customWidth="1" min="5" max="5"/>
    <col width="29" customWidth="1" min="6" max="6"/>
    <col width="20" customWidth="1" min="7" max="7"/>
    <col width="20" customWidth="1" min="8" max="8"/>
  </cols>
  <sheetData>
    <row r="1">
      <c r="A1" s="1" t="inlineStr">
        <is>
          <t>Dashboard Bulanan</t>
        </is>
      </c>
    </row>
    <row r="2">
      <c r="A2" t="inlineStr">
        <is>
          <t>Merangkum hasil bulan berjalan agar freelancer cepat tahu kondisi aman, dana pajak, dan buffer tanpa harus membaca semua transaksi.</t>
        </is>
      </c>
    </row>
    <row r="3">
      <c r="A3" s="2" t="inlineStr">
        <is>
          <t>Isi satu baris per bulan berdasarkan hasil dari sheet transaksi. Anda bisa menyalin total bulanan untuk evaluasi cepat. Fokus pada tiga angka: pemasukan, pengeluaran, dan sisa aman setelah penyisihan. Bila sisa aman terlalu kecil selama beberapa bulan, turunkan biaya hidup atau naikkan target dana tenang.</t>
        </is>
      </c>
    </row>
    <row r="5">
      <c r="A5" s="3" t="inlineStr">
        <is>
          <t>Bulan</t>
        </is>
      </c>
      <c r="B5" s="3" t="inlineStr">
        <is>
          <t>Total Pemasukan</t>
        </is>
      </c>
      <c r="C5" s="3" t="inlineStr">
        <is>
          <t>Total Pengeluaran</t>
        </is>
      </c>
      <c r="D5" s="3" t="inlineStr">
        <is>
          <t>Total Pajak Disisihkan</t>
        </is>
      </c>
      <c r="E5" s="3" t="inlineStr">
        <is>
          <t>Total Dana Tenang</t>
        </is>
      </c>
      <c r="F5" s="3" t="inlineStr">
        <is>
          <t>Sisa Bersih Bulan Ini</t>
        </is>
      </c>
      <c r="G5" s="3" t="inlineStr">
        <is>
          <t>Rasio Tabung</t>
        </is>
      </c>
      <c r="H5" s="3" t="inlineStr">
        <is>
          <t>Status Bulan</t>
        </is>
      </c>
    </row>
    <row r="6">
      <c r="A6" s="4" t="inlineStr">
        <is>
          <t>Juli 2026</t>
        </is>
      </c>
      <c r="B6" s="8" t="n">
        <v>6200000</v>
      </c>
      <c r="C6" s="8" t="n">
        <v>4100000</v>
      </c>
      <c r="D6" s="8" t="n">
        <v>930000</v>
      </c>
      <c r="E6" s="8" t="n">
        <v>1240000</v>
      </c>
      <c r="F6" s="4">
        <f>B2-C2</f>
        <v/>
      </c>
      <c r="G6" s="4">
        <f>IF(B2=0,0,(D2+E2)/B2)</f>
        <v/>
      </c>
      <c r="H6" s="4" t="inlineStr">
        <is>
          <t>Perlu Waspada</t>
        </is>
      </c>
    </row>
    <row r="7">
      <c r="A7" s="4" t="inlineStr">
        <is>
          <t>Agustus 2026</t>
        </is>
      </c>
      <c r="B7" s="8" t="n">
        <v>9800000</v>
      </c>
      <c r="C7" s="8" t="n">
        <v>5200000</v>
      </c>
      <c r="D7" s="8" t="n">
        <v>1470000</v>
      </c>
      <c r="E7" s="8" t="n">
        <v>1960000</v>
      </c>
      <c r="F7" s="4">
        <f>B3-C3</f>
        <v/>
      </c>
      <c r="G7" s="4">
        <f>IF(B3=0,0,(D3+E3)/B3)</f>
        <v/>
      </c>
      <c r="H7" s="4" t="inlineStr">
        <is>
          <t>Aman</t>
        </is>
      </c>
    </row>
    <row r="8">
      <c r="A8" s="4" t="inlineStr">
        <is>
          <t>September 2026</t>
        </is>
      </c>
      <c r="B8" s="8" t="n">
        <v>9300000</v>
      </c>
      <c r="C8" s="8" t="n">
        <v>2600000</v>
      </c>
      <c r="D8" s="8" t="n">
        <v>1395000</v>
      </c>
      <c r="E8" s="8" t="n">
        <v>1860000</v>
      </c>
      <c r="F8" s="4">
        <f>B4-C4</f>
        <v/>
      </c>
      <c r="G8" s="4">
        <f>IF(B4=0,0,(D4+E4)/B4)</f>
        <v/>
      </c>
      <c r="H8" s="4" t="inlineStr">
        <is>
          <t>Aman</t>
        </is>
      </c>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3">
      <c r="A13" s="6" t="inlineStr">
        <is>
          <t>Total Pemasukan Periode</t>
        </is>
      </c>
      <c r="B13" s="7">
        <f>SUM(B6:B11)</f>
        <v/>
      </c>
    </row>
    <row r="14">
      <c r="A14" s="6" t="inlineStr">
        <is>
          <t>Total Pengeluaran Periode</t>
        </is>
      </c>
      <c r="C14" s="7">
        <f>SUM(C6:C11)</f>
        <v/>
      </c>
    </row>
    <row r="15">
      <c r="A15" s="6" t="inlineStr">
        <is>
          <t>Total Pajak Periode</t>
        </is>
      </c>
      <c r="D15" s="7">
        <f>SUM(D6:D11)</f>
        <v/>
      </c>
    </row>
    <row r="16">
      <c r="A16" s="6" t="inlineStr">
        <is>
          <t>Total Dana Tenang Periode</t>
        </is>
      </c>
      <c r="E16" s="7">
        <f>SUM(E6:E11)</f>
        <v/>
      </c>
    </row>
  </sheetData>
  <dataValidations count="1">
    <dataValidation sqref="H6:H16" showDropDown="0" showInputMessage="0" showErrorMessage="0" allowBlank="1" type="list">
      <formula1>"Aman,Perlu Waspada,Seret"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2026-09-09T02:41:49Z</dcterms:created>
  <dcterms:modified xsi:type="dcterms:W3CDTF">2026-09-09T02:41:49Z</dcterms:modified>
</cp:coreProperties>
</file>