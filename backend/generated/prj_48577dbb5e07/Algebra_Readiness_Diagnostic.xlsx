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ostic Test" sheetId="1" state="visible" r:id="rId1"/>
    <sheet name="Results 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16" customWidth="1" min="3" max="3"/>
    <col width="22" customWidth="1" min="4" max="4"/>
    <col width="22" customWidth="1" min="5" max="5"/>
    <col width="16" customWidth="1" min="6" max="6"/>
    <col width="14" customWidth="1" min="7" max="7"/>
    <col width="14" customWidth="1" min="8" max="8"/>
  </cols>
  <sheetData>
    <row r="1">
      <c r="A1" s="1" t="inlineStr">
        <is>
          <t>Diagnostic Test</t>
        </is>
      </c>
    </row>
    <row r="2">
      <c r="A2" t="inlineStr">
        <is>
          <t>Let a student complete a short algebra readiness check, self-score it, and classify each question by skill gap area.</t>
        </is>
      </c>
    </row>
    <row r="3">
      <c r="A3" s="2" t="inlineStr">
        <is>
          <t>Work down the questions in order. Enter your answer in Student Answer. After solving, mark Correct as Yes or No. Use the Skill Area column to see which topic each question measures. The Score column converts Yes to 1 and No to 0 for summary totals on the second sheet.</t>
        </is>
      </c>
    </row>
    <row r="5">
      <c r="A5" s="3" t="inlineStr">
        <is>
          <t>Q#</t>
        </is>
      </c>
      <c r="B5" s="3" t="inlineStr">
        <is>
          <t>Skill Area</t>
        </is>
      </c>
      <c r="C5" s="3" t="inlineStr">
        <is>
          <t>Question</t>
        </is>
      </c>
      <c r="D5" s="3" t="inlineStr">
        <is>
          <t>Student Answer</t>
        </is>
      </c>
      <c r="E5" s="3" t="inlineStr">
        <is>
          <t>Correct Answer</t>
        </is>
      </c>
      <c r="F5" s="3" t="inlineStr">
        <is>
          <t>Correct?</t>
        </is>
      </c>
      <c r="G5" s="3" t="inlineStr">
        <is>
          <t>Score</t>
        </is>
      </c>
      <c r="H5" s="3" t="inlineStr">
        <is>
          <t>Notes</t>
        </is>
      </c>
    </row>
    <row r="6">
      <c r="A6" s="4" t="n">
        <v>1</v>
      </c>
      <c r="B6" s="4" t="inlineStr">
        <is>
          <t>Equation Solving</t>
        </is>
      </c>
      <c r="C6" s="4" t="inlineStr">
        <is>
          <t>Solve: x + 7 = 15</t>
        </is>
      </c>
      <c r="D6" s="4" t="inlineStr"/>
      <c r="E6" s="4" t="inlineStr">
        <is>
          <t>8</t>
        </is>
      </c>
      <c r="F6" s="4" t="inlineStr"/>
      <c r="G6" s="4">
        <f>IF(F6="Yes",1,0)</f>
        <v/>
      </c>
      <c r="H6" s="4" t="inlineStr"/>
    </row>
    <row r="7">
      <c r="A7" s="4" t="n">
        <v>2</v>
      </c>
      <c r="B7" s="4" t="inlineStr">
        <is>
          <t>Equation Solving</t>
        </is>
      </c>
      <c r="C7" s="4" t="inlineStr">
        <is>
          <t>Solve: 3x = 21</t>
        </is>
      </c>
      <c r="D7" s="4" t="inlineStr"/>
      <c r="E7" s="4" t="inlineStr">
        <is>
          <t>7</t>
        </is>
      </c>
      <c r="F7" s="4" t="inlineStr"/>
      <c r="G7" s="4">
        <f>IF(F7="Yes",1,0)</f>
        <v/>
      </c>
      <c r="H7" s="4" t="inlineStr"/>
    </row>
    <row r="8">
      <c r="A8" s="4" t="n">
        <v>3</v>
      </c>
      <c r="B8" s="4" t="inlineStr">
        <is>
          <t>Sign Handling</t>
        </is>
      </c>
      <c r="C8" s="4" t="inlineStr">
        <is>
          <t>Simplify: -4 + 9</t>
        </is>
      </c>
      <c r="D8" s="4" t="inlineStr"/>
      <c r="E8" s="4" t="inlineStr">
        <is>
          <t>5</t>
        </is>
      </c>
      <c r="F8" s="4" t="inlineStr"/>
      <c r="G8" s="4">
        <f>IF(F8="Yes",1,0)</f>
        <v/>
      </c>
      <c r="H8" s="4" t="inlineStr"/>
    </row>
    <row r="9">
      <c r="A9" s="4" t="n">
        <v>4</v>
      </c>
      <c r="B9" s="4" t="inlineStr">
        <is>
          <t>Sign Handling</t>
        </is>
      </c>
      <c r="C9" s="4" t="inlineStr">
        <is>
          <t>Simplify: 6 - 11</t>
        </is>
      </c>
      <c r="D9" s="4" t="inlineStr"/>
      <c r="E9" s="4" t="inlineStr">
        <is>
          <t>-5</t>
        </is>
      </c>
      <c r="F9" s="4" t="inlineStr"/>
      <c r="G9" s="4">
        <f>IF(F9="Yes",1,0)</f>
        <v/>
      </c>
      <c r="H9" s="4" t="inlineStr"/>
    </row>
    <row r="10">
      <c r="A10" s="4" t="n">
        <v>5</v>
      </c>
      <c r="B10" s="4" t="inlineStr">
        <is>
          <t>Fractions</t>
        </is>
      </c>
      <c r="C10" s="4" t="inlineStr">
        <is>
          <t>Compute: 1/2 + 1/4</t>
        </is>
      </c>
      <c r="D10" s="4" t="inlineStr"/>
      <c r="E10" s="4" t="inlineStr">
        <is>
          <t>3/4</t>
        </is>
      </c>
      <c r="F10" s="4" t="inlineStr"/>
      <c r="G10" s="4">
        <f>IF(F10="Yes",1,0)</f>
        <v/>
      </c>
      <c r="H10" s="4" t="inlineStr"/>
    </row>
    <row r="11">
      <c r="A11" s="4" t="n">
        <v>6</v>
      </c>
      <c r="B11" s="4" t="inlineStr">
        <is>
          <t>Fractions</t>
        </is>
      </c>
      <c r="C11" s="4" t="inlineStr">
        <is>
          <t>Solve: x/3 = 5</t>
        </is>
      </c>
      <c r="D11" s="4" t="inlineStr"/>
      <c r="E11" s="4" t="inlineStr">
        <is>
          <t>15</t>
        </is>
      </c>
      <c r="F11" s="4" t="inlineStr"/>
      <c r="G11" s="4">
        <f>IF(F11="Yes",1,0)</f>
        <v/>
      </c>
      <c r="H11" s="4" t="inlineStr"/>
    </row>
    <row r="12">
      <c r="A12" s="4" t="n">
        <v>7</v>
      </c>
      <c r="B12" s="4" t="inlineStr">
        <is>
          <t>Distribution</t>
        </is>
      </c>
      <c r="C12" s="4" t="inlineStr">
        <is>
          <t>Expand: 3(x + 4)</t>
        </is>
      </c>
      <c r="D12" s="4" t="inlineStr"/>
      <c r="E12" s="4" t="inlineStr">
        <is>
          <t>3x + 12</t>
        </is>
      </c>
      <c r="F12" s="4" t="inlineStr"/>
      <c r="G12" s="4">
        <f>IF(F12="Yes",1,0)</f>
        <v/>
      </c>
      <c r="H12" s="4" t="inlineStr"/>
    </row>
    <row r="13">
      <c r="A13" s="4" t="n">
        <v>8</v>
      </c>
      <c r="B13" s="4" t="inlineStr">
        <is>
          <t>Distribution</t>
        </is>
      </c>
      <c r="C13" s="4" t="inlineStr">
        <is>
          <t>Expand: -2(y - 5)</t>
        </is>
      </c>
      <c r="D13" s="4" t="inlineStr"/>
      <c r="E13" s="4" t="inlineStr">
        <is>
          <t>-2y + 10</t>
        </is>
      </c>
      <c r="F13" s="4" t="inlineStr"/>
      <c r="G13" s="4">
        <f>IF(F13="Yes",1,0)</f>
        <v/>
      </c>
      <c r="H13" s="4" t="inlineStr"/>
    </row>
    <row r="14">
      <c r="A14" s="4" t="n">
        <v>9</v>
      </c>
      <c r="B14" s="4" t="inlineStr">
        <is>
          <t>Simplifying Expressions</t>
        </is>
      </c>
      <c r="C14" s="4" t="inlineStr">
        <is>
          <t>Simplify: 2x + 5x - 3</t>
        </is>
      </c>
      <c r="D14" s="4" t="inlineStr"/>
      <c r="E14" s="4" t="inlineStr">
        <is>
          <t>7x - 3</t>
        </is>
      </c>
      <c r="F14" s="4" t="inlineStr"/>
      <c r="G14" s="4">
        <f>IF(F14="Yes",1,0)</f>
        <v/>
      </c>
      <c r="H14" s="4" t="inlineStr"/>
    </row>
    <row r="15">
      <c r="A15" s="4" t="n">
        <v>10</v>
      </c>
      <c r="B15" s="4" t="inlineStr">
        <is>
          <t>Simplifying Expressions</t>
        </is>
      </c>
      <c r="C15" s="4" t="inlineStr">
        <is>
          <t>Simplify: 4a - 2a + 6</t>
        </is>
      </c>
      <c r="D15" s="4" t="inlineStr"/>
      <c r="E15" s="4" t="inlineStr">
        <is>
          <t>2a + 6</t>
        </is>
      </c>
      <c r="F15" s="4" t="inlineStr"/>
      <c r="G15" s="4">
        <f>IF(F15="Yes",1,0)</f>
        <v/>
      </c>
      <c r="H15" s="4" t="inlineStr"/>
    </row>
    <row r="16">
      <c r="A16" s="4" t="n">
        <v>11</v>
      </c>
      <c r="B16" s="4" t="inlineStr">
        <is>
          <t>Word-Problem Translation</t>
        </is>
      </c>
      <c r="C16" s="4" t="inlineStr">
        <is>
          <t>Write an expression: 'five more than twice n'</t>
        </is>
      </c>
      <c r="D16" s="4" t="inlineStr"/>
      <c r="E16" s="4" t="inlineStr">
        <is>
          <t>2n + 5</t>
        </is>
      </c>
      <c r="F16" s="4" t="inlineStr"/>
      <c r="G16" s="4">
        <f>IF(F16="Yes",1,0)</f>
        <v/>
      </c>
      <c r="H16" s="4" t="inlineStr"/>
    </row>
    <row r="17">
      <c r="A17" s="4" t="n">
        <v>12</v>
      </c>
      <c r="B17" s="4" t="inlineStr">
        <is>
          <t>Word-Problem Translation</t>
        </is>
      </c>
      <c r="C17" s="4" t="inlineStr">
        <is>
          <t>Write an equation: 'A number x decreased by 3 is 10'</t>
        </is>
      </c>
      <c r="D17" s="4" t="inlineStr"/>
      <c r="E17" s="4" t="inlineStr">
        <is>
          <t>x - 3 = 10</t>
        </is>
      </c>
      <c r="F17" s="4" t="inlineStr"/>
      <c r="G17" s="4">
        <f>IF(F17="Yes",1,0)</f>
        <v/>
      </c>
      <c r="H17" s="4" t="inlineStr"/>
    </row>
    <row r="18">
      <c r="A18" s="4" t="n"/>
      <c r="B18" s="4" t="n"/>
      <c r="C18" s="4" t="n"/>
      <c r="D18" s="4" t="n"/>
      <c r="E18" s="4" t="n"/>
      <c r="F18" s="4" t="n"/>
      <c r="G18" s="4">
        <f>IF(F18="Yes",1,0)</f>
        <v/>
      </c>
      <c r="H18" s="4" t="n"/>
    </row>
    <row r="19">
      <c r="A19" s="4" t="n"/>
      <c r="B19" s="4" t="n"/>
      <c r="C19" s="4" t="n"/>
      <c r="D19" s="4" t="n"/>
      <c r="E19" s="4" t="n"/>
      <c r="F19" s="4" t="n"/>
      <c r="G19" s="4">
        <f>IF(F19="Yes",1,0)</f>
        <v/>
      </c>
      <c r="H19" s="4" t="n"/>
    </row>
    <row r="20">
      <c r="A20" s="4" t="n"/>
      <c r="B20" s="4" t="n"/>
      <c r="C20" s="4" t="n"/>
      <c r="D20" s="4" t="n"/>
      <c r="E20" s="4" t="n"/>
      <c r="F20" s="4" t="n"/>
      <c r="G20" s="4">
        <f>IF(F20="Yes",1,0)</f>
        <v/>
      </c>
      <c r="H20" s="4" t="n"/>
    </row>
    <row r="22">
      <c r="A22" s="5" t="inlineStr">
        <is>
          <t>Total Correct</t>
        </is>
      </c>
      <c r="F22" s="6">
        <f>SUM(G2:G13)</f>
        <v/>
      </c>
    </row>
  </sheetData>
  <dataValidations count="2">
    <dataValidation sqref="B6:B25" showDropDown="0" showInputMessage="0" showErrorMessage="0" allowBlank="1" type="list">
      <formula1>"Equation Solving,Sign Handling,Fractions,Distribution,Simplifying Expressions,Word-Problem Translation"</formula1>
    </dataValidation>
    <dataValidation sqref="F6:F25"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18" customWidth="1" min="1" max="1"/>
    <col width="15" customWidth="1" min="2" max="2"/>
    <col width="23" customWidth="1" min="3" max="3"/>
    <col width="16" customWidth="1" min="4" max="4"/>
    <col width="14" customWidth="1" min="5" max="5"/>
    <col width="25" customWidth="1" min="6" max="6"/>
  </cols>
  <sheetData>
    <row r="1">
      <c r="A1" s="1" t="inlineStr">
        <is>
          <t>Results Summary</t>
        </is>
      </c>
    </row>
    <row r="2">
      <c r="A2" t="inlineStr">
        <is>
          <t>Summarize performance by skill area and identify the student's biggest algebra readiness gap and best starting point.</t>
        </is>
      </c>
    </row>
    <row r="3">
      <c r="A3" s="2" t="inlineStr">
        <is>
          <t>After finishing the Diagnostic Test sheet, review this summary. Enter nothing except optional notes. The Correct, Total, and Accuracy columns calculate from the first sheet. Use the Recommended Start column to decide where to begin in the book.</t>
        </is>
      </c>
    </row>
    <row r="5">
      <c r="A5" s="3" t="inlineStr">
        <is>
          <t>Skill Area</t>
        </is>
      </c>
      <c r="B5" s="3" t="inlineStr">
        <is>
          <t>Correct</t>
        </is>
      </c>
      <c r="C5" s="3" t="inlineStr">
        <is>
          <t>Total Questions</t>
        </is>
      </c>
      <c r="D5" s="3" t="inlineStr">
        <is>
          <t>Accuracy</t>
        </is>
      </c>
      <c r="E5" s="3" t="inlineStr">
        <is>
          <t>Status</t>
        </is>
      </c>
      <c r="F5" s="3" t="inlineStr">
        <is>
          <t>Recommended Start</t>
        </is>
      </c>
    </row>
    <row r="6">
      <c r="A6" s="4" t="inlineStr">
        <is>
          <t>Equation Solving</t>
        </is>
      </c>
      <c r="B6" s="4">
        <f>COUNTIFS('Diagnostic Test'!B:B,A6,'Diagnostic Test'!F:F,"Yes")</f>
        <v/>
      </c>
      <c r="C6" s="4">
        <f>COUNTIF('Diagnostic Test'!B:B,A6)</f>
        <v/>
      </c>
      <c r="D6" s="4">
        <f>IF(C6=0,0,B6/C6)</f>
        <v/>
      </c>
      <c r="E6" s="4">
        <f>IF(D6&lt;0.5,"Priority Gap",IF(D6&lt;0.8,"Needs Review","Solid"))</f>
        <v/>
      </c>
      <c r="F6" s="4">
        <f>IF(E6="Priority Gap","Start here first",IF(E6="Needs Review","Review soon","Brief review only"))</f>
        <v/>
      </c>
    </row>
    <row r="7">
      <c r="A7" s="4" t="inlineStr">
        <is>
          <t>Sign Handling</t>
        </is>
      </c>
      <c r="B7" s="4">
        <f>COUNTIFS('Diagnostic Test'!B:B,A7,'Diagnostic Test'!F:F,"Yes")</f>
        <v/>
      </c>
      <c r="C7" s="4">
        <f>COUNTIF('Diagnostic Test'!B:B,A7)</f>
        <v/>
      </c>
      <c r="D7" s="4">
        <f>IF(C7=0,0,B7/C7)</f>
        <v/>
      </c>
      <c r="E7" s="4">
        <f>IF(D7&lt;0.5,"Priority Gap",IF(D7&lt;0.8,"Needs Review","Solid"))</f>
        <v/>
      </c>
      <c r="F7" s="4">
        <f>IF(E7="Priority Gap","Start here first",IF(E7="Needs Review","Review soon","Brief review only"))</f>
        <v/>
      </c>
    </row>
    <row r="8">
      <c r="A8" s="4" t="inlineStr">
        <is>
          <t>Fractions</t>
        </is>
      </c>
      <c r="B8" s="4">
        <f>COUNTIFS('Diagnostic Test'!B:B,A8,'Diagnostic Test'!F:F,"Yes")</f>
        <v/>
      </c>
      <c r="C8" s="4">
        <f>COUNTIF('Diagnostic Test'!B:B,A8)</f>
        <v/>
      </c>
      <c r="D8" s="4">
        <f>IF(C8=0,0,B8/C8)</f>
        <v/>
      </c>
      <c r="E8" s="4">
        <f>IF(D8&lt;0.5,"Priority Gap",IF(D8&lt;0.8,"Needs Review","Solid"))</f>
        <v/>
      </c>
      <c r="F8" s="4">
        <f>IF(E8="Priority Gap","Start here first",IF(E8="Needs Review","Review soon","Brief review only"))</f>
        <v/>
      </c>
    </row>
    <row r="9">
      <c r="A9" s="4" t="inlineStr">
        <is>
          <t>Distribution</t>
        </is>
      </c>
      <c r="B9" s="4">
        <f>COUNTIFS('Diagnostic Test'!B:B,A9,'Diagnostic Test'!F:F,"Yes")</f>
        <v/>
      </c>
      <c r="C9" s="4">
        <f>COUNTIF('Diagnostic Test'!B:B,A9)</f>
        <v/>
      </c>
      <c r="D9" s="4">
        <f>IF(C9=0,0,B9/C9)</f>
        <v/>
      </c>
      <c r="E9" s="4">
        <f>IF(D9&lt;0.5,"Priority Gap",IF(D9&lt;0.8,"Needs Review","Solid"))</f>
        <v/>
      </c>
      <c r="F9" s="4">
        <f>IF(E9="Priority Gap","Start here first",IF(E9="Needs Review","Review soon","Brief review only"))</f>
        <v/>
      </c>
    </row>
    <row r="10">
      <c r="A10" s="4" t="inlineStr">
        <is>
          <t>Simplifying Expressions</t>
        </is>
      </c>
      <c r="B10" s="4">
        <f>COUNTIFS('Diagnostic Test'!B:B,A10,'Diagnostic Test'!F:F,"Yes")</f>
        <v/>
      </c>
      <c r="C10" s="4">
        <f>COUNTIF('Diagnostic Test'!B:B,A10)</f>
        <v/>
      </c>
      <c r="D10" s="4">
        <f>IF(C10=0,0,B10/C10)</f>
        <v/>
      </c>
      <c r="E10" s="4">
        <f>IF(D10&lt;0.5,"Priority Gap",IF(D10&lt;0.8,"Needs Review","Solid"))</f>
        <v/>
      </c>
      <c r="F10" s="4">
        <f>IF(E10="Priority Gap","Start here first",IF(E10="Needs Review","Review soon","Brief review only"))</f>
        <v/>
      </c>
    </row>
    <row r="11">
      <c r="A11" s="4" t="inlineStr">
        <is>
          <t>Word-Problem Translation</t>
        </is>
      </c>
      <c r="B11" s="4">
        <f>COUNTIFS('Diagnostic Test'!B:B,A11,'Diagnostic Test'!F:F,"Yes")</f>
        <v/>
      </c>
      <c r="C11" s="4">
        <f>COUNTIF('Diagnostic Test'!B:B,A11)</f>
        <v/>
      </c>
      <c r="D11" s="4">
        <f>IF(C11=0,0,B11/C11)</f>
        <v/>
      </c>
      <c r="E11" s="4">
        <f>IF(D11&lt;0.5,"Priority Gap",IF(D11&lt;0.8,"Needs Review","Solid"))</f>
        <v/>
      </c>
      <c r="F11" s="4">
        <f>IF(E11="Priority Gap","Start here first",IF(E11="Needs Review","Review soon","Brief review only"))</f>
        <v/>
      </c>
    </row>
    <row r="12">
      <c r="A12" s="4" t="n"/>
      <c r="B12" s="4">
        <f>COUNTIFS('Diagnostic Test'!B:B,A12,'Diagnostic Test'!F:F,"Yes")</f>
        <v/>
      </c>
      <c r="C12" s="4">
        <f>COUNTIF('Diagnostic Test'!B:B,A12)</f>
        <v/>
      </c>
      <c r="D12" s="4">
        <f>IF(C12=0,0,B12/C12)</f>
        <v/>
      </c>
      <c r="E12" s="4">
        <f>IF(D12&lt;0.5,"Priority Gap",IF(D12&lt;0.8,"Needs Review","Solid"))</f>
        <v/>
      </c>
      <c r="F12" s="4">
        <f>IF(E12="Priority Gap","Start here first",IF(E12="Needs Review","Review soon","Brief review only"))</f>
        <v/>
      </c>
    </row>
    <row r="13">
      <c r="A13" s="4" t="n"/>
      <c r="B13" s="4">
        <f>COUNTIFS('Diagnostic Test'!B:B,A13,'Diagnostic Test'!F:F,"Yes")</f>
        <v/>
      </c>
      <c r="C13" s="4">
        <f>COUNTIF('Diagnostic Test'!B:B,A13)</f>
        <v/>
      </c>
      <c r="D13" s="4">
        <f>IF(C13=0,0,B13/C13)</f>
        <v/>
      </c>
      <c r="E13" s="4">
        <f>IF(D13&lt;0.5,"Priority Gap",IF(D13&lt;0.8,"Needs Review","Solid"))</f>
        <v/>
      </c>
      <c r="F13" s="4">
        <f>IF(E13="Priority Gap","Start here first",IF(E13="Needs Review","Review soon","Brief review only"))</f>
        <v/>
      </c>
    </row>
    <row r="14">
      <c r="A14" s="4" t="n"/>
      <c r="B14" s="4">
        <f>COUNTIFS('Diagnostic Test'!B:B,A14,'Diagnostic Test'!F:F,"Yes")</f>
        <v/>
      </c>
      <c r="C14" s="4">
        <f>COUNTIF('Diagnostic Test'!B:B,A14)</f>
        <v/>
      </c>
      <c r="D14" s="4">
        <f>IF(C14=0,0,B14/C14)</f>
        <v/>
      </c>
      <c r="E14" s="4">
        <f>IF(D14&lt;0.5,"Priority Gap",IF(D14&lt;0.8,"Needs Review","Solid"))</f>
        <v/>
      </c>
      <c r="F14" s="4">
        <f>IF(E14="Priority Gap","Start here first",IF(E14="Needs Review","Review soon","Brief review only"))</f>
        <v/>
      </c>
    </row>
    <row r="16">
      <c r="A16" s="5" t="inlineStr">
        <is>
          <t>Overall Accuracy</t>
        </is>
      </c>
      <c r="C16" s="6">
        <f>SUM(B2:B7)/SUM(C2:C7)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2026-09-09T03:10:46Z</dcterms:created>
  <dcterms:modified xsi:type="dcterms:W3CDTF">2026-09-09T03:10:46Z</dcterms:modified>
</cp:coreProperties>
</file>