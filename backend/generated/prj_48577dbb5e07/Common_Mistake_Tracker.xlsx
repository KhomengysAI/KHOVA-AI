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take Log" sheetId="1" state="visible" r:id="rId1"/>
    <sheet name="Pattern 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24" customWidth="1" min="3" max="3"/>
    <col width="23" customWidth="1" min="4" max="4"/>
    <col width="22" customWidth="1" min="5" max="5"/>
    <col width="20" customWidth="1" min="6" max="6"/>
    <col width="14" customWidth="1" min="7" max="7"/>
    <col width="27" customWidth="1" min="8" max="8"/>
    <col width="19" customWidth="1" min="9" max="9"/>
    <col width="14" customWidth="1" min="10" max="10"/>
    <col width="22" customWidth="1" min="11" max="11"/>
  </cols>
  <sheetData>
    <row r="1">
      <c r="A1" s="1" t="inlineStr">
        <is>
          <t>Mistake Log</t>
        </is>
      </c>
    </row>
    <row r="2">
      <c r="A2" t="inlineStr">
        <is>
          <t>Record algebra mistakes, identify patterns, and practice corrected reasoning so repeated errors turn into understanding.</t>
        </is>
      </c>
    </row>
    <row r="3">
      <c r="A3" s="2" t="inlineStr">
        <is>
          <t>Use one row per mistake. Enter the date, topic, original problem, your wrong answer, the correct answer, and classify the mistake. Briefly note what caused it and write the corrected reasoning in plain steps. Set a review date and update the status after you retry a similar problem.</t>
        </is>
      </c>
    </row>
    <row r="5">
      <c r="A5" s="3" t="inlineStr">
        <is>
          <t>Date</t>
        </is>
      </c>
      <c r="B5" s="3" t="inlineStr">
        <is>
          <t>Topic</t>
        </is>
      </c>
      <c r="C5" s="3" t="inlineStr">
        <is>
          <t>Original Problem</t>
        </is>
      </c>
      <c r="D5" s="3" t="inlineStr">
        <is>
          <t>My Wrong Answer</t>
        </is>
      </c>
      <c r="E5" s="3" t="inlineStr">
        <is>
          <t>Correct Answer</t>
        </is>
      </c>
      <c r="F5" s="3" t="inlineStr">
        <is>
          <t>Mistake Type</t>
        </is>
      </c>
      <c r="G5" s="3" t="inlineStr">
        <is>
          <t>Cause</t>
        </is>
      </c>
      <c r="H5" s="3" t="inlineStr">
        <is>
          <t>Corrected Reasoning</t>
        </is>
      </c>
      <c r="I5" s="3" t="inlineStr">
        <is>
          <t>Review Date</t>
        </is>
      </c>
      <c r="J5" s="3" t="inlineStr">
        <is>
          <t>Status</t>
        </is>
      </c>
      <c r="K5" s="3" t="inlineStr">
        <is>
          <t>Days to Review</t>
        </is>
      </c>
    </row>
    <row r="6">
      <c r="A6" s="4" t="inlineStr">
        <is>
          <t>2026-09-01</t>
        </is>
      </c>
      <c r="B6" s="4" t="inlineStr">
        <is>
          <t>Solving Equations</t>
        </is>
      </c>
      <c r="C6" s="4" t="inlineStr">
        <is>
          <t>3x + 5 = 17</t>
        </is>
      </c>
      <c r="D6" s="4" t="inlineStr">
        <is>
          <t>x = 7</t>
        </is>
      </c>
      <c r="E6" s="4" t="inlineStr">
        <is>
          <t>x = 4</t>
        </is>
      </c>
      <c r="F6" s="4" t="inlineStr">
        <is>
          <t>Inverse Operation Error</t>
        </is>
      </c>
      <c r="G6" s="4" t="inlineStr">
        <is>
          <t>Skipped Step</t>
        </is>
      </c>
      <c r="H6" s="4" t="inlineStr">
        <is>
          <t>Subtract 5 from both sides first: 3x = 12, then divide by 3 to get x = 4.</t>
        </is>
      </c>
      <c r="I6" s="4" t="inlineStr">
        <is>
          <t>2026-09-03</t>
        </is>
      </c>
      <c r="J6" s="4" t="inlineStr">
        <is>
          <t>Reviewed Once</t>
        </is>
      </c>
      <c r="K6" s="4">
        <f>I6-A6</f>
        <v/>
      </c>
    </row>
    <row r="7">
      <c r="A7" s="4" t="inlineStr">
        <is>
          <t>2026-09-01</t>
        </is>
      </c>
      <c r="B7" s="4" t="inlineStr">
        <is>
          <t>Combining Like Terms</t>
        </is>
      </c>
      <c r="C7" s="4" t="inlineStr">
        <is>
          <t>4x + 3 + 2x - 5</t>
        </is>
      </c>
      <c r="D7" s="4" t="inlineStr">
        <is>
          <t>9x - 5</t>
        </is>
      </c>
      <c r="E7" s="4" t="inlineStr">
        <is>
          <t>6x - 2</t>
        </is>
      </c>
      <c r="F7" s="4" t="inlineStr">
        <is>
          <t>Combined Unlike Terms</t>
        </is>
      </c>
      <c r="G7" s="4" t="inlineStr">
        <is>
          <t>Did Not Understand Concept</t>
        </is>
      </c>
      <c r="H7" s="4" t="inlineStr">
        <is>
          <t>Combine x-terms only: 4x + 2x = 6x. Combine constants only: 3 - 5 = -2.</t>
        </is>
      </c>
      <c r="I7" s="4" t="inlineStr">
        <is>
          <t>2026-09-04</t>
        </is>
      </c>
      <c r="J7" s="4" t="inlineStr">
        <is>
          <t>New</t>
        </is>
      </c>
      <c r="K7" s="4">
        <f>I7-A7</f>
        <v/>
      </c>
    </row>
    <row r="8">
      <c r="A8" s="4" t="inlineStr">
        <is>
          <t>2026-09-02</t>
        </is>
      </c>
      <c r="B8" s="4" t="inlineStr">
        <is>
          <t>Distributive Property</t>
        </is>
      </c>
      <c r="C8" s="4" t="inlineStr">
        <is>
          <t>2(x - 3)</t>
        </is>
      </c>
      <c r="D8" s="4" t="inlineStr">
        <is>
          <t>2x - 3</t>
        </is>
      </c>
      <c r="E8" s="4" t="inlineStr">
        <is>
          <t>2x - 6</t>
        </is>
      </c>
      <c r="F8" s="4" t="inlineStr">
        <is>
          <t>Distribution Error</t>
        </is>
      </c>
      <c r="G8" s="4" t="inlineStr">
        <is>
          <t>Forgot Rule</t>
        </is>
      </c>
      <c r="H8" s="4" t="inlineStr">
        <is>
          <t>Distribute 2 to both terms inside the parentheses: 2·x and 2·(-3).</t>
        </is>
      </c>
      <c r="I8" s="4" t="inlineStr">
        <is>
          <t>2026-09-05</t>
        </is>
      </c>
      <c r="J8" s="4" t="inlineStr">
        <is>
          <t>Need More Practice</t>
        </is>
      </c>
      <c r="K8" s="4">
        <f>I8-A8</f>
        <v/>
      </c>
    </row>
    <row r="9">
      <c r="A9" s="4" t="inlineStr">
        <is>
          <t>2026-09-02</t>
        </is>
      </c>
      <c r="B9" s="4" t="inlineStr">
        <is>
          <t>Fractions</t>
        </is>
      </c>
      <c r="C9" s="4" t="inlineStr">
        <is>
          <t>1/2 + 1/3</t>
        </is>
      </c>
      <c r="D9" s="4" t="inlineStr">
        <is>
          <t>2/5</t>
        </is>
      </c>
      <c r="E9" s="4" t="inlineStr">
        <is>
          <t>5/6</t>
        </is>
      </c>
      <c r="F9" s="4" t="inlineStr">
        <is>
          <t>Fraction Mistake</t>
        </is>
      </c>
      <c r="G9" s="4" t="inlineStr">
        <is>
          <t>Weak Fraction Skills</t>
        </is>
      </c>
      <c r="H9" s="4" t="inlineStr">
        <is>
          <t>Use a common denominator of 6: 1/2 = 3/6 and 1/3 = 2/6, then add to get 5/6.</t>
        </is>
      </c>
      <c r="I9" s="4" t="inlineStr">
        <is>
          <t>2026-09-06</t>
        </is>
      </c>
      <c r="J9" s="4" t="inlineStr">
        <is>
          <t>New</t>
        </is>
      </c>
      <c r="K9" s="4">
        <f>I9-A9</f>
        <v/>
      </c>
    </row>
    <row r="10">
      <c r="A10" s="4" t="inlineStr">
        <is>
          <t>2026-09-03</t>
        </is>
      </c>
      <c r="B10" s="4" t="inlineStr">
        <is>
          <t>Exponents</t>
        </is>
      </c>
      <c r="C10" s="4" t="inlineStr">
        <is>
          <t>x^2 · x^3</t>
        </is>
      </c>
      <c r="D10" s="4" t="inlineStr">
        <is>
          <t>x^6</t>
        </is>
      </c>
      <c r="E10" s="4" t="inlineStr">
        <is>
          <t>x^5</t>
        </is>
      </c>
      <c r="F10" s="4" t="inlineStr">
        <is>
          <t>Exponent Rule Error</t>
        </is>
      </c>
      <c r="G10" s="4" t="inlineStr">
        <is>
          <t>Forgot Rule</t>
        </is>
      </c>
      <c r="H10" s="4" t="inlineStr">
        <is>
          <t>When multiplying same bases, add exponents: 2 + 3 = 5.</t>
        </is>
      </c>
      <c r="I10" s="4" t="inlineStr">
        <is>
          <t>2026-09-07</t>
        </is>
      </c>
      <c r="J10" s="4" t="inlineStr">
        <is>
          <t>Reviewed Once</t>
        </is>
      </c>
      <c r="K10" s="4">
        <f>I10-A10</f>
        <v/>
      </c>
    </row>
    <row r="11">
      <c r="A11" s="4" t="inlineStr">
        <is>
          <t>2026-09-03</t>
        </is>
      </c>
      <c r="B11" s="4" t="inlineStr">
        <is>
          <t>Inequalities</t>
        </is>
      </c>
      <c r="C11" s="4" t="inlineStr">
        <is>
          <t>-2x &gt; 8</t>
        </is>
      </c>
      <c r="D11" s="4" t="inlineStr">
        <is>
          <t>x &gt; -4</t>
        </is>
      </c>
      <c r="E11" s="4" t="inlineStr">
        <is>
          <t>x &lt; -4</t>
        </is>
      </c>
      <c r="F11" s="4" t="inlineStr">
        <is>
          <t>Sign Error</t>
        </is>
      </c>
      <c r="G11" s="4" t="inlineStr">
        <is>
          <t>Negative Number Confusion</t>
        </is>
      </c>
      <c r="H11" s="4" t="inlineStr">
        <is>
          <t>Divide both sides by -2 and reverse the inequality sign.</t>
        </is>
      </c>
      <c r="I11" s="4" t="inlineStr">
        <is>
          <t>2026-09-08</t>
        </is>
      </c>
      <c r="J11" s="4" t="inlineStr">
        <is>
          <t>Need More Practice</t>
        </is>
      </c>
      <c r="K11" s="4">
        <f>I11-A11</f>
        <v/>
      </c>
    </row>
    <row r="12">
      <c r="A12" s="4" t="inlineStr">
        <is>
          <t>2026-09-04</t>
        </is>
      </c>
      <c r="B12" s="4" t="inlineStr">
        <is>
          <t>Systems of Equations</t>
        </is>
      </c>
      <c r="C12" s="4" t="inlineStr">
        <is>
          <t>y = 2x + 1 and y = x + 4</t>
        </is>
      </c>
      <c r="D12" s="4" t="inlineStr">
        <is>
          <t>x = 1</t>
        </is>
      </c>
      <c r="E12" s="4" t="inlineStr">
        <is>
          <t>x = 3</t>
        </is>
      </c>
      <c r="F12" s="4" t="inlineStr">
        <is>
          <t>Equation Setup Error</t>
        </is>
      </c>
      <c r="G12" s="4" t="inlineStr">
        <is>
          <t>Set Up Wrong</t>
        </is>
      </c>
      <c r="H12" s="4" t="inlineStr">
        <is>
          <t>Set the expressions for y equal: 2x + 1 = x + 4. Subtract x and 1 to get x = 3.</t>
        </is>
      </c>
      <c r="I12" s="4" t="inlineStr">
        <is>
          <t>2026-09-09</t>
        </is>
      </c>
      <c r="J12" s="4" t="inlineStr">
        <is>
          <t>New</t>
        </is>
      </c>
      <c r="K12" s="4">
        <f>I12-A12</f>
        <v/>
      </c>
    </row>
    <row r="13">
      <c r="A13" s="4" t="inlineStr">
        <is>
          <t>2026-09-04</t>
        </is>
      </c>
      <c r="B13" s="4" t="inlineStr">
        <is>
          <t>Factoring</t>
        </is>
      </c>
      <c r="C13" s="4" t="inlineStr">
        <is>
          <t>x^2 + 5x + 6</t>
        </is>
      </c>
      <c r="D13" s="4" t="inlineStr">
        <is>
          <t>(x + 6)(x - 1)</t>
        </is>
      </c>
      <c r="E13" s="4" t="inlineStr">
        <is>
          <t>(x + 2)(x + 3)</t>
        </is>
      </c>
      <c r="F13" s="4" t="inlineStr">
        <is>
          <t>Arithmetic Slip</t>
        </is>
      </c>
      <c r="G13" s="4" t="inlineStr">
        <is>
          <t>Rushed</t>
        </is>
      </c>
      <c r="H13" s="4" t="inlineStr">
        <is>
          <t>Find two numbers that multiply to 6 and add to 5: 2 and 3.</t>
        </is>
      </c>
      <c r="I13" s="4" t="inlineStr">
        <is>
          <t>2026-09-10</t>
        </is>
      </c>
      <c r="J13" s="4" t="inlineStr">
        <is>
          <t>Reviewed Once</t>
        </is>
      </c>
      <c r="K13" s="4">
        <f>I13-A13</f>
        <v/>
      </c>
    </row>
    <row r="14">
      <c r="A14" s="4" t="n"/>
      <c r="B14" s="4" t="n"/>
      <c r="C14" s="4" t="n"/>
      <c r="D14" s="4" t="n"/>
      <c r="E14" s="4" t="n"/>
      <c r="F14" s="4" t="n"/>
      <c r="G14" s="4" t="n"/>
      <c r="H14" s="4" t="n"/>
      <c r="I14" s="4" t="n"/>
      <c r="J14" s="4" t="n"/>
      <c r="K14" s="4">
        <f>I14-A14</f>
        <v/>
      </c>
    </row>
    <row r="15">
      <c r="A15" s="4" t="n"/>
      <c r="B15" s="4" t="n"/>
      <c r="C15" s="4" t="n"/>
      <c r="D15" s="4" t="n"/>
      <c r="E15" s="4" t="n"/>
      <c r="F15" s="4" t="n"/>
      <c r="G15" s="4" t="n"/>
      <c r="H15" s="4" t="n"/>
      <c r="I15" s="4" t="n"/>
      <c r="J15" s="4" t="n"/>
      <c r="K15" s="4">
        <f>I15-A15</f>
        <v/>
      </c>
    </row>
    <row r="16">
      <c r="A16" s="4" t="n"/>
      <c r="B16" s="4" t="n"/>
      <c r="C16" s="4" t="n"/>
      <c r="D16" s="4" t="n"/>
      <c r="E16" s="4" t="n"/>
      <c r="F16" s="4" t="n"/>
      <c r="G16" s="4" t="n"/>
      <c r="H16" s="4" t="n"/>
      <c r="I16" s="4" t="n"/>
      <c r="J16" s="4" t="n"/>
      <c r="K16" s="4">
        <f>I16-A16</f>
        <v/>
      </c>
    </row>
    <row r="18">
      <c r="A18" s="5" t="inlineStr">
        <is>
          <t>Total Mistakes Logged</t>
        </is>
      </c>
      <c r="B18" s="6">
        <f>COUNTA(C2:C999)</f>
        <v/>
      </c>
    </row>
    <row r="19">
      <c r="A19" s="5" t="inlineStr">
        <is>
          <t>Mastered Mistakes</t>
        </is>
      </c>
      <c r="J19" s="6">
        <f>COUNTIF(J2:J999,"Mastered")</f>
        <v/>
      </c>
    </row>
    <row r="20">
      <c r="A20" s="5" t="inlineStr">
        <is>
          <t>Need More Practice</t>
        </is>
      </c>
      <c r="J20" s="6">
        <f>COUNTIF(J2:J999,"Need More Practice")</f>
        <v/>
      </c>
    </row>
  </sheetData>
  <dataValidations count="4">
    <dataValidation sqref="B6:B21" showDropDown="0" showInputMessage="0" showErrorMessage="0" allowBlank="1" type="list">
      <formula1>"Solving Equations,Combining Like Terms,Distributive Property,Fractions,Exponents,Inequalities,Systems of Equations,Factoring,Graphing,Word Problems"</formula1>
    </dataValidation>
    <dataValidation sqref="F6:F21" showDropDown="0" showInputMessage="0" showErrorMessage="0" allowBlank="1" type="list">
      <formula1>"Sign Error,Arithmetic Slip,Order of Operations,Combined Unlike Terms,Distribution Error,Inverse Operation Error,Fraction Mistake,Exponent Rule Error,Variable Isolation Error,Copied Problem Incorrectly,Misread Question,Equation Setup Error"</formula1>
    </dataValidation>
    <dataValidation sqref="G6:G21" showDropDown="0" showInputMessage="0" showErrorMessage="0" allowBlank="1" type="list">
      <formula1>"Rushed,Did Not Check Work,Forgot Rule,Misread Symbol,Skipped Step,Weak Fraction Skills,Negative Number Confusion,Set Up Wrong,Careless Copying,Did Not Understand Concept"</formula1>
    </dataValidation>
    <dataValidation sqref="J6:J21" showDropDown="0" showInputMessage="0" showErrorMessage="0" allowBlank="1" type="list">
      <formula1>"New,Reviewed Once,Need More Practice,Mastered"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5" topLeftCell="A6" activePane="bottomLeft" state="frozen"/>
      <selection pane="bottomLeft" activeCell="A1" sqref="A1"/>
    </sheetView>
  </sheetViews>
  <sheetFormatPr baseColWidth="8" defaultRowHeight="15"/>
  <cols>
    <col width="21" customWidth="1" min="1" max="1"/>
    <col width="16" customWidth="1" min="2" max="2"/>
    <col width="14" customWidth="1" min="3" max="3"/>
    <col width="22" customWidth="1" min="4" max="4"/>
    <col width="19" customWidth="1" min="5" max="5"/>
  </cols>
  <sheetData>
    <row r="1">
      <c r="A1" s="1" t="inlineStr">
        <is>
          <t>Pattern Summary</t>
        </is>
      </c>
    </row>
    <row r="2">
      <c r="A2" t="inlineStr">
        <is>
          <t>Summarize which mistake types and causes happen most often so the student can target weak spots.</t>
        </is>
      </c>
    </row>
    <row r="3">
      <c r="A3" s="2" t="inlineStr">
        <is>
          <t>Review the counts to spot repeated errors. Update the labels if you want to track fewer categories, but keep them matched to the dropdown choices used in the Mistake Log sheet.</t>
        </is>
      </c>
    </row>
    <row r="5">
      <c r="A5" s="3" t="inlineStr">
        <is>
          <t>Category Type</t>
        </is>
      </c>
      <c r="B5" s="3" t="inlineStr">
        <is>
          <t>Category</t>
        </is>
      </c>
      <c r="C5" s="3" t="inlineStr">
        <is>
          <t>Count</t>
        </is>
      </c>
      <c r="D5" s="3" t="inlineStr">
        <is>
          <t>Focus Priority</t>
        </is>
      </c>
      <c r="E5" s="3" t="inlineStr">
        <is>
          <t>Action Step</t>
        </is>
      </c>
    </row>
    <row r="6">
      <c r="A6" s="4" t="inlineStr">
        <is>
          <t>Mistake Type</t>
        </is>
      </c>
      <c r="B6" s="4" t="inlineStr">
        <is>
          <t>Sign Error</t>
        </is>
      </c>
      <c r="C6" s="4">
        <f>IF(A6="Mistake Type",COUNTIF('Mistake Log'!F:F,B6),COUNTIF('Mistake Log'!G:G,B6))</f>
        <v/>
      </c>
      <c r="D6" s="4" t="inlineStr">
        <is>
          <t>High</t>
        </is>
      </c>
      <c r="E6" s="4" t="inlineStr">
        <is>
          <t>Redo 5 negative-number problems slowly and check each sign change.</t>
        </is>
      </c>
    </row>
    <row r="7">
      <c r="A7" s="4" t="inlineStr">
        <is>
          <t>Mistake Type</t>
        </is>
      </c>
      <c r="B7" s="4" t="inlineStr">
        <is>
          <t>Distribution Error</t>
        </is>
      </c>
      <c r="C7" s="4">
        <f>IF(A7="Mistake Type",COUNTIF('Mistake Log'!F:F,B7),COUNTIF('Mistake Log'!G:G,B7))</f>
        <v/>
      </c>
      <c r="D7" s="4" t="inlineStr">
        <is>
          <t>Medium</t>
        </is>
      </c>
      <c r="E7" s="4" t="inlineStr">
        <is>
          <t>Underline every term inside parentheses before distributing.</t>
        </is>
      </c>
    </row>
    <row r="8">
      <c r="A8" s="4" t="inlineStr">
        <is>
          <t>Mistake Type</t>
        </is>
      </c>
      <c r="B8" s="4" t="inlineStr">
        <is>
          <t>Fraction Mistake</t>
        </is>
      </c>
      <c r="C8" s="4">
        <f>IF(A8="Mistake Type",COUNTIF('Mistake Log'!F:F,B8),COUNTIF('Mistake Log'!G:G,B8))</f>
        <v/>
      </c>
      <c r="D8" s="4" t="inlineStr">
        <is>
          <t>High</t>
        </is>
      </c>
      <c r="E8" s="4" t="inlineStr">
        <is>
          <t>Practice common denominators with 10 fraction addition problems.</t>
        </is>
      </c>
    </row>
    <row r="9">
      <c r="A9" s="4" t="inlineStr">
        <is>
          <t>Mistake Type</t>
        </is>
      </c>
      <c r="B9" s="4" t="inlineStr">
        <is>
          <t>Exponent Rule Error</t>
        </is>
      </c>
      <c r="C9" s="4">
        <f>IF(A9="Mistake Type",COUNTIF('Mistake Log'!F:F,B9),COUNTIF('Mistake Log'!G:G,B9))</f>
        <v/>
      </c>
      <c r="D9" s="4" t="inlineStr">
        <is>
          <t>Medium</t>
        </is>
      </c>
      <c r="E9" s="4" t="inlineStr">
        <is>
          <t>Make a one-line rule card for multiplying and dividing exponents.</t>
        </is>
      </c>
    </row>
    <row r="10">
      <c r="A10" s="4" t="inlineStr">
        <is>
          <t>Cause</t>
        </is>
      </c>
      <c r="B10" s="4" t="inlineStr">
        <is>
          <t>Rushed</t>
        </is>
      </c>
      <c r="C10" s="4">
        <f>IF(A10="Mistake Type",COUNTIF('Mistake Log'!F:F,B10),COUNTIF('Mistake Log'!G:G,B10))</f>
        <v/>
      </c>
      <c r="D10" s="4" t="inlineStr">
        <is>
          <t>High</t>
        </is>
      </c>
      <c r="E10" s="4" t="inlineStr">
        <is>
          <t>Set a rule to pause and check each final answer before moving on.</t>
        </is>
      </c>
    </row>
    <row r="11">
      <c r="A11" s="4" t="inlineStr">
        <is>
          <t>Cause</t>
        </is>
      </c>
      <c r="B11" s="4" t="inlineStr">
        <is>
          <t>Forgot Rule</t>
        </is>
      </c>
      <c r="C11" s="4">
        <f>IF(A11="Mistake Type",COUNTIF('Mistake Log'!F:F,B11),COUNTIF('Mistake Log'!G:G,B11))</f>
        <v/>
      </c>
      <c r="D11" s="4" t="inlineStr">
        <is>
          <t>High</t>
        </is>
      </c>
      <c r="E11" s="4" t="inlineStr">
        <is>
          <t>Review one rule summary before starting homework.</t>
        </is>
      </c>
    </row>
    <row r="12">
      <c r="A12" s="4" t="inlineStr">
        <is>
          <t>Cause</t>
        </is>
      </c>
      <c r="B12" s="4" t="inlineStr">
        <is>
          <t>Skipped Step</t>
        </is>
      </c>
      <c r="C12" s="4">
        <f>IF(A12="Mistake Type",COUNTIF('Mistake Log'!F:F,B12),COUNTIF('Mistake Log'!G:G,B12))</f>
        <v/>
      </c>
      <c r="D12" s="4" t="inlineStr">
        <is>
          <t>Medium</t>
        </is>
      </c>
      <c r="E12" s="4" t="inlineStr">
        <is>
          <t>Write every algebra step on a new line for the next 3 assignments.</t>
        </is>
      </c>
    </row>
    <row r="13">
      <c r="A13" s="4" t="n"/>
      <c r="B13" s="4" t="n"/>
      <c r="C13" s="4">
        <f>IF(A13="Mistake Type",COUNTIF('Mistake Log'!F:F,B13),COUNTIF('Mistake Log'!G:G,B13))</f>
        <v/>
      </c>
      <c r="D13" s="4" t="n"/>
      <c r="E13" s="4" t="n"/>
    </row>
    <row r="14">
      <c r="A14" s="4" t="n"/>
      <c r="B14" s="4" t="n"/>
      <c r="C14" s="4">
        <f>IF(A14="Mistake Type",COUNTIF('Mistake Log'!F:F,B14),COUNTIF('Mistake Log'!G:G,B14))</f>
        <v/>
      </c>
      <c r="D14" s="4" t="n"/>
      <c r="E14" s="4" t="n"/>
    </row>
    <row r="15">
      <c r="A15" s="4" t="n"/>
      <c r="B15" s="4" t="n"/>
      <c r="C15" s="4">
        <f>IF(A15="Mistake Type",COUNTIF('Mistake Log'!F:F,B15),COUNTIF('Mistake Log'!G:G,B15))</f>
        <v/>
      </c>
      <c r="D15" s="4" t="n"/>
      <c r="E15" s="4" t="n"/>
    </row>
    <row r="17">
      <c r="A17" s="5" t="inlineStr">
        <is>
          <t>Total Counted Entries</t>
        </is>
      </c>
      <c r="C17" s="6">
        <f>SUM(C2:C999)</f>
        <v/>
      </c>
    </row>
  </sheetData>
  <dataValidations count="2">
    <dataValidation sqref="A6:A20" showDropDown="0" showInputMessage="0" showErrorMessage="0" allowBlank="1" type="list">
      <formula1>"Mistake Type,Cause"</formula1>
    </dataValidation>
    <dataValidation sqref="D6:D20" showDropDown="0" showInputMessage="0" showErrorMessage="0" allowBlank="1"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2026-09-09T03:11:49Z</dcterms:created>
  <dcterms:modified xsi:type="dcterms:W3CDTF">2026-09-09T03:11:49Z</dcterms:modified>
</cp:coreProperties>
</file>