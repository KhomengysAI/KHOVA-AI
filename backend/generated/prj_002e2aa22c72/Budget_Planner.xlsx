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duan &amp; Ringkasan" sheetId="1" state="visible" r:id="rId1"/>
    <sheet name="Pengaturan" sheetId="2" state="visible" r:id="rId2"/>
    <sheet name="Transaksi"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B6E6B"/>
      <sz val="14"/>
    </font>
    <font>
      <i val="1"/>
      <color rgb="005B6472"/>
    </font>
    <font>
      <b val="1"/>
      <color rgb="00FFFFFF"/>
      <sz val="11"/>
    </font>
    <font>
      <b val="1"/>
    </font>
    <font>
      <b val="1"/>
      <color rgb="00C07A2B"/>
    </font>
  </fonts>
  <fills count="3">
    <fill>
      <patternFill/>
    </fill>
    <fill>
      <patternFill patternType="gray125"/>
    </fill>
    <fill>
      <patternFill patternType="solid">
        <fgColor rgb="000B6E6B"/>
        <bgColor rgb="000B6E6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0" fillId="0" borderId="1" pivotButton="0" quotePrefix="0" xfId="0"/>
    <xf numFmtId="9" fontId="0" fillId="0" borderId="1" pivotButton="0" quotePrefix="0" xfId="0"/>
    <xf numFmtId="3" fontId="0" fillId="0" borderId="1"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pane ySplit="5" topLeftCell="A6" activePane="bottomLeft" state="frozen"/>
      <selection pane="bottomLeft" activeCell="A1" sqref="A1"/>
    </sheetView>
  </sheetViews>
  <sheetFormatPr baseColWidth="8" defaultRowHeight="15"/>
  <cols>
    <col width="14" customWidth="1" min="1" max="1"/>
    <col width="14" customWidth="1" min="2" max="2"/>
    <col width="18" customWidth="1" min="3" max="3"/>
  </cols>
  <sheetData>
    <row r="1">
      <c r="A1" s="1" t="inlineStr">
        <is>
          <t>Panduan &amp; Ringkasan</t>
        </is>
      </c>
    </row>
    <row r="2">
      <c r="A2" t="inlineStr">
        <is>
          <t>Menjelaskan cara pakai workbook dan menjadi pusat ringkasan kondisi keuangan bulan berjalan.</t>
        </is>
      </c>
    </row>
    <row r="3">
      <c r="A3" s="2" t="inlineStr">
        <is>
          <t>Isi sheet Pengaturan sekali di awal. Lalu setiap ada uang masuk/keluar, catat di sheet Transaksi. Gunakan kategori dan akun agar ringkasan terbaca otomatis. Di akhir bulan, buka sheet ini selama 30 menit untuk melihat total pemasukan, total pengeluaran, sisa kas, jumlah yang harus dipindahkan ke amplop digital, dan cek apakah dana aman minimum sudah terpenuhi.</t>
        </is>
      </c>
    </row>
    <row r="5">
      <c r="A5" s="3" t="inlineStr">
        <is>
          <t>Bagian</t>
        </is>
      </c>
      <c r="B5" s="3" t="inlineStr">
        <is>
          <t>Nilai</t>
        </is>
      </c>
      <c r="C5" s="3" t="inlineStr">
        <is>
          <t>Keterangan</t>
        </is>
      </c>
    </row>
    <row r="6">
      <c r="A6" s="4" t="inlineStr">
        <is>
          <t>Cara Pakai</t>
        </is>
      </c>
      <c r="B6" s="4">
        <f>B6</f>
        <v/>
      </c>
      <c r="C6" s="4" t="inlineStr">
        <is>
          <t>Set sekali, lalu dipakai berulang tiap bulan</t>
        </is>
      </c>
    </row>
    <row r="7">
      <c r="A7" s="4" t="inlineStr">
        <is>
          <t>Langkah Mingguan</t>
        </is>
      </c>
      <c r="B7" s="4">
        <f>B7</f>
        <v/>
      </c>
      <c r="C7" s="4" t="inlineStr">
        <is>
          <t>Minimal seminggu sekali agar data tidak tertinggal</t>
        </is>
      </c>
    </row>
    <row r="8">
      <c r="A8" s="4" t="inlineStr">
        <is>
          <t>Review Bulanan</t>
        </is>
      </c>
      <c r="B8" s="4">
        <f>B8</f>
        <v/>
      </c>
      <c r="C8" s="4" t="inlineStr">
        <is>
          <t>Butuh sekitar 30 menit</t>
        </is>
      </c>
    </row>
    <row r="9">
      <c r="A9" s="4" t="inlineStr">
        <is>
          <t>Total Pemasukan</t>
        </is>
      </c>
      <c r="B9" s="4">
        <f>B9</f>
        <v/>
      </c>
      <c r="C9" s="4" t="inlineStr">
        <is>
          <t>Semua pemasukan tercatat</t>
        </is>
      </c>
    </row>
    <row r="10">
      <c r="A10" s="4" t="inlineStr">
        <is>
          <t>Total Pengeluaran</t>
        </is>
      </c>
      <c r="B10" s="4">
        <f>B10</f>
        <v/>
      </c>
      <c r="C10" s="4" t="inlineStr">
        <is>
          <t>Semua pengeluaran tercatat</t>
        </is>
      </c>
    </row>
    <row r="11">
      <c r="A11" s="4" t="inlineStr">
        <is>
          <t>Arus Kas Bersih</t>
        </is>
      </c>
      <c r="B11" s="4">
        <f>B11</f>
        <v/>
      </c>
      <c r="C11" s="4" t="inlineStr">
        <is>
          <t>Positif = ada ruang untuk dialokasikan</t>
        </is>
      </c>
    </row>
    <row r="12">
      <c r="A12" s="4" t="inlineStr">
        <is>
          <t>Setoran Pajak Disarankan</t>
        </is>
      </c>
      <c r="B12" s="4">
        <f>B12</f>
        <v/>
      </c>
      <c r="C12" s="4" t="inlineStr">
        <is>
          <t>Akumulasi penyisihan pajak dari setiap pemasukan</t>
        </is>
      </c>
    </row>
    <row r="13">
      <c r="A13" s="4" t="inlineStr">
        <is>
          <t>Sisa Belum Dialokasikan</t>
        </is>
      </c>
      <c r="B13" s="4">
        <f>B13</f>
        <v/>
      </c>
      <c r="C13" s="4" t="inlineStr">
        <is>
          <t>Gunakan untuk buffer atau target lain</t>
        </is>
      </c>
    </row>
    <row r="14">
      <c r="A14" s="4" t="n"/>
      <c r="B14" s="4">
        <f>B14</f>
        <v/>
      </c>
      <c r="C14" s="4" t="n"/>
    </row>
    <row r="15">
      <c r="A15" s="4" t="n"/>
      <c r="B15" s="4">
        <f>B15</f>
        <v/>
      </c>
      <c r="C15" s="4" t="n"/>
    </row>
    <row r="16">
      <c r="A16" s="4" t="n"/>
      <c r="B16" s="4">
        <f>B16</f>
        <v/>
      </c>
      <c r="C16"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5" topLeftCell="A6" activePane="bottomLeft" state="frozen"/>
      <selection pane="bottomLeft" activeCell="A1" sqref="A1"/>
    </sheetView>
  </sheetViews>
  <sheetFormatPr baseColWidth="8" defaultRowHeight="15"/>
  <cols>
    <col width="22" customWidth="1" min="1" max="1"/>
    <col width="17" customWidth="1" min="2" max="2"/>
    <col width="33" customWidth="1" min="3" max="3"/>
    <col width="20" customWidth="1" min="4" max="4"/>
    <col width="22" customWidth="1" min="5" max="5"/>
    <col width="36" customWidth="1" min="6" max="6"/>
    <col width="26" customWidth="1" min="7" max="7"/>
  </cols>
  <sheetData>
    <row r="1">
      <c r="A1" s="1" t="inlineStr">
        <is>
          <t>Pengaturan</t>
        </is>
      </c>
    </row>
    <row r="2">
      <c r="A2" t="inlineStr">
        <is>
          <t>Menyimpan persentase amplop digital, target dana aman, dan parameter dasar agar perhitungan otomatis sesuai kondisi freelancer.</t>
        </is>
      </c>
    </row>
    <row r="3">
      <c r="A3" s="2" t="inlineStr">
        <is>
          <t>Isi nama amplop, persentase alokasi dari pemasukan, dan saldo target. Total persentase amplop sebaiknya tidak melebihi 100%. Baris Pajak dan Dana Aman adalah yang paling penting untuk diprioritaskan saat pemasukan masuk.</t>
        </is>
      </c>
    </row>
    <row r="5">
      <c r="A5" s="3" t="inlineStr">
        <is>
          <t>Amplop Digital</t>
        </is>
      </c>
      <c r="B5" s="3" t="inlineStr">
        <is>
          <t>Prioritas</t>
        </is>
      </c>
      <c r="C5" s="3" t="inlineStr">
        <is>
          <t>Persentase dari Pemasukan</t>
        </is>
      </c>
      <c r="D5" s="3" t="inlineStr">
        <is>
          <t>Target Saldo</t>
        </is>
      </c>
      <c r="E5" s="3" t="inlineStr">
        <is>
          <t>Saldo Saat Ini</t>
        </is>
      </c>
      <c r="F5" s="3" t="inlineStr">
        <is>
          <t>Setoran Bulan Ini Disarankan</t>
        </is>
      </c>
      <c r="G5" s="3" t="inlineStr">
        <is>
          <t>Sisa Menuju Target</t>
        </is>
      </c>
    </row>
    <row r="6">
      <c r="A6" s="4" t="inlineStr">
        <is>
          <t>Pajak</t>
        </is>
      </c>
      <c r="B6" s="4" t="n">
        <v>1</v>
      </c>
      <c r="C6" s="5" t="n">
        <v>0.1</v>
      </c>
      <c r="D6" s="6" t="n">
        <v>6000000</v>
      </c>
      <c r="E6" s="6" t="n">
        <v>1800000</v>
      </c>
      <c r="F6" s="4">
        <f>SUMIF(Transaksi!$C:$C,"Pemasukan",Transaksi!$H:$H)*C6</f>
        <v/>
      </c>
      <c r="G6" s="4">
        <f>MAX(D6-E6,0)</f>
        <v/>
      </c>
    </row>
    <row r="7">
      <c r="A7" s="4" t="inlineStr">
        <is>
          <t>Dana Aman</t>
        </is>
      </c>
      <c r="B7" s="4" t="n">
        <v>2</v>
      </c>
      <c r="C7" s="5" t="n">
        <v>0.15</v>
      </c>
      <c r="D7" s="6" t="n">
        <v>12000000</v>
      </c>
      <c r="E7" s="6" t="n">
        <v>4500000</v>
      </c>
      <c r="F7" s="4">
        <f>SUMIF(Transaksi!$C:$C,"Pemasukan",Transaksi!$H:$H)*C7</f>
        <v/>
      </c>
      <c r="G7" s="4">
        <f>MAX(D7-E7,0)</f>
        <v/>
      </c>
    </row>
    <row r="8">
      <c r="A8" s="4" t="inlineStr">
        <is>
          <t>Biaya Hidup</t>
        </is>
      </c>
      <c r="B8" s="4" t="n">
        <v>3</v>
      </c>
      <c r="C8" s="5" t="n">
        <v>0.4</v>
      </c>
      <c r="D8" s="6" t="n">
        <v>0</v>
      </c>
      <c r="E8" s="6" t="n">
        <v>2500000</v>
      </c>
      <c r="F8" s="4">
        <f>SUMIF(Transaksi!$C:$C,"Pemasukan",Transaksi!$H:$H)*C8</f>
        <v/>
      </c>
      <c r="G8" s="4">
        <f>MAX(D8-E8,0)</f>
        <v/>
      </c>
    </row>
    <row r="9">
      <c r="A9" s="4" t="inlineStr">
        <is>
          <t>Tabungan Tujuan</t>
        </is>
      </c>
      <c r="B9" s="4" t="n">
        <v>4</v>
      </c>
      <c r="C9" s="5" t="n">
        <v>0.15</v>
      </c>
      <c r="D9" s="6" t="n">
        <v>8000000</v>
      </c>
      <c r="E9" s="6" t="n">
        <v>1200000</v>
      </c>
      <c r="F9" s="4">
        <f>SUMIF(Transaksi!$C:$C,"Pemasukan",Transaksi!$H:$H)*C9</f>
        <v/>
      </c>
      <c r="G9" s="4">
        <f>MAX(D9-E9,0)</f>
        <v/>
      </c>
    </row>
    <row r="10">
      <c r="A10" s="4" t="inlineStr">
        <is>
          <t>Operasional</t>
        </is>
      </c>
      <c r="B10" s="4" t="n">
        <v>5</v>
      </c>
      <c r="C10" s="5" t="n">
        <v>0.1</v>
      </c>
      <c r="D10" s="6" t="n">
        <v>0</v>
      </c>
      <c r="E10" s="6" t="n">
        <v>900000</v>
      </c>
      <c r="F10" s="4">
        <f>SUMIF(Transaksi!$C:$C,"Pemasukan",Transaksi!$H:$H)*C10</f>
        <v/>
      </c>
      <c r="G10" s="4">
        <f>MAX(D10-E10,0)</f>
        <v/>
      </c>
    </row>
    <row r="11">
      <c r="A11" s="4" t="n"/>
      <c r="B11" s="4" t="n"/>
      <c r="C11" s="4" t="n"/>
      <c r="D11" s="4" t="n"/>
      <c r="E11" s="4" t="n"/>
      <c r="F11" s="4">
        <f>SUMIF(Transaksi!$C:$C,"Pemasukan",Transaksi!$H:$H)*C11</f>
        <v/>
      </c>
      <c r="G11" s="4">
        <f>MAX(D11-E11,0)</f>
        <v/>
      </c>
    </row>
    <row r="12">
      <c r="A12" s="4" t="n"/>
      <c r="B12" s="4" t="n"/>
      <c r="C12" s="4" t="n"/>
      <c r="D12" s="4" t="n"/>
      <c r="E12" s="4" t="n"/>
      <c r="F12" s="4">
        <f>SUMIF(Transaksi!$C:$C,"Pemasukan",Transaksi!$H:$H)*C12</f>
        <v/>
      </c>
      <c r="G12" s="4">
        <f>MAX(D12-E12,0)</f>
        <v/>
      </c>
    </row>
    <row r="13">
      <c r="A13" s="4" t="n"/>
      <c r="B13" s="4" t="n"/>
      <c r="C13" s="4" t="n"/>
      <c r="D13" s="4" t="n"/>
      <c r="E13" s="4" t="n"/>
      <c r="F13" s="4">
        <f>SUMIF(Transaksi!$C:$C,"Pemasukan",Transaksi!$H:$H)*C13</f>
        <v/>
      </c>
      <c r="G13" s="4">
        <f>MAX(D13-E13,0)</f>
        <v/>
      </c>
    </row>
    <row r="15">
      <c r="A15" s="7" t="inlineStr">
        <is>
          <t>Total Persentase Amplop</t>
        </is>
      </c>
      <c r="B15" s="8">
        <f>SUM(C6:C13)</f>
        <v/>
      </c>
    </row>
    <row r="16">
      <c r="A16" s="7" t="inlineStr">
        <is>
          <t>Total Setoran Disarankan</t>
        </is>
      </c>
      <c r="E16" s="8">
        <f>SUM(F6:F13)</f>
        <v/>
      </c>
    </row>
    <row r="17">
      <c r="A17" s="7" t="inlineStr">
        <is>
          <t>Total Kekurangan ke Target</t>
        </is>
      </c>
      <c r="F17" s="8">
        <f>SUM(G6:G13)</f>
        <v/>
      </c>
    </row>
  </sheetData>
  <dataValidations count="1">
    <dataValidation sqref="A6:A18" showDropDown="0" showInputMessage="0" showErrorMessage="0" allowBlank="1" type="list">
      <formula1>"Pajak,Dana Aman,Biaya Hidup,Tabungan Tujuan,Operasional,Investasi"</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0"/>
  <sheetViews>
    <sheetView workbookViewId="0">
      <pane ySplit="5" topLeftCell="A6" activePane="bottomLeft" state="frozen"/>
      <selection pane="bottomLeft" activeCell="A1" sqref="A1"/>
    </sheetView>
  </sheetViews>
  <sheetFormatPr baseColWidth="8" defaultRowHeight="15"/>
  <cols>
    <col width="15" customWidth="1" min="1" max="1"/>
    <col width="14" customWidth="1" min="2" max="2"/>
    <col width="14" customWidth="1" min="3" max="3"/>
    <col width="16" customWidth="1" min="4" max="4"/>
    <col width="20" customWidth="1" min="5" max="5"/>
    <col width="14" customWidth="1" min="6" max="6"/>
    <col width="18" customWidth="1" min="7" max="7"/>
    <col width="15" customWidth="1" min="8" max="8"/>
    <col width="21" customWidth="1" min="9" max="9"/>
    <col width="25" customWidth="1" min="10" max="10"/>
    <col width="31" customWidth="1" min="11" max="11"/>
    <col width="23" customWidth="1" min="12" max="12"/>
  </cols>
  <sheetData>
    <row r="1">
      <c r="A1" s="1" t="inlineStr">
        <is>
          <t>Transaksi</t>
        </is>
      </c>
    </row>
    <row r="2">
      <c r="A2" t="inlineStr">
        <is>
          <t>Mencatat semua pemasukan dan pengeluaran agar alokasi uang dan ringkasan berjalan otomatis.</t>
        </is>
      </c>
    </row>
    <row r="3">
      <c r="A3" s="2" t="inlineStr">
        <is>
          <t>Setiap transaksi isi tanggal, jenis, kategori, klien/sumber, akun, dan nominal. Untuk pemasukan, persentase amplop akan dihitung otomatis termasuk rekomendasi setoran pajak. Untuk pengeluaran, kolom alokasi bisa dibiarkan nol. Gunakan catatan untuk invoice, proyek, atau kebutuhan bukti.</t>
        </is>
      </c>
    </row>
    <row r="5">
      <c r="A5" s="3" t="inlineStr">
        <is>
          <t>Tanggal</t>
        </is>
      </c>
      <c r="B5" s="3" t="inlineStr">
        <is>
          <t>Bulan</t>
        </is>
      </c>
      <c r="C5" s="3" t="inlineStr">
        <is>
          <t>Jenis</t>
        </is>
      </c>
      <c r="D5" s="3" t="inlineStr">
        <is>
          <t>Kategori</t>
        </is>
      </c>
      <c r="E5" s="3" t="inlineStr">
        <is>
          <t>Klien/Sumber</t>
        </is>
      </c>
      <c r="F5" s="3" t="inlineStr">
        <is>
          <t>Akun</t>
        </is>
      </c>
      <c r="G5" s="3" t="inlineStr">
        <is>
          <t>Keterangan</t>
        </is>
      </c>
      <c r="H5" s="3" t="inlineStr">
        <is>
          <t>Nominal</t>
        </is>
      </c>
      <c r="I5" s="3" t="inlineStr">
        <is>
          <t>Alokasi Pajak</t>
        </is>
      </c>
      <c r="J5" s="3" t="inlineStr">
        <is>
          <t>Alokasi Dana Aman</t>
        </is>
      </c>
      <c r="K5" s="3" t="inlineStr">
        <is>
          <t>Alokasi Tabungan Tujuan</t>
        </is>
      </c>
      <c r="L5" s="3" t="inlineStr">
        <is>
          <t>Sisa Siap Pakai</t>
        </is>
      </c>
    </row>
    <row r="6">
      <c r="A6" s="4" t="inlineStr">
        <is>
          <t>2026-09-01</t>
        </is>
      </c>
      <c r="B6" s="4">
        <f>TEXT(A6,"mmmm yyyy")</f>
        <v/>
      </c>
      <c r="C6" s="4" t="inlineStr">
        <is>
          <t>Pemasukan</t>
        </is>
      </c>
      <c r="D6" s="4" t="inlineStr">
        <is>
          <t>Proyek Klien</t>
        </is>
      </c>
      <c r="E6" s="4" t="inlineStr">
        <is>
          <t>PT Maju Kreatif</t>
        </is>
      </c>
      <c r="F6" s="4" t="inlineStr">
        <is>
          <t>Bank BCA</t>
        </is>
      </c>
      <c r="G6" s="4" t="inlineStr">
        <is>
          <t>Pelunasan desain website</t>
        </is>
      </c>
      <c r="H6" s="6" t="n">
        <v>4500000</v>
      </c>
      <c r="I6" s="4">
        <f>IF(C6="Pemasukan",H6*XLOOKUP("Pajak",Pengaturan!A:A,Pengaturan!C:C,0),0)</f>
        <v/>
      </c>
      <c r="J6" s="4">
        <f>IF(C6="Pemasukan",H6*XLOOKUP("Dana Aman",Pengaturan!A:A,Pengaturan!C:C,0),0)</f>
        <v/>
      </c>
      <c r="K6" s="4">
        <f>IF(C6="Pemasukan",H6*XLOOKUP("Tabungan Tujuan",Pengaturan!A:A,Pengaturan!C:C,0),0)</f>
        <v/>
      </c>
      <c r="L6" s="4">
        <f>IF(C6="Pemasukan",H6-I6-J6-K6,-H6)</f>
        <v/>
      </c>
    </row>
    <row r="7">
      <c r="A7" s="4" t="inlineStr">
        <is>
          <t>2026-09-03</t>
        </is>
      </c>
      <c r="B7" s="4">
        <f>TEXT(A7,"mmmm yyyy")</f>
        <v/>
      </c>
      <c r="C7" s="4" t="inlineStr">
        <is>
          <t>Pengeluaran</t>
        </is>
      </c>
      <c r="D7" s="4" t="inlineStr">
        <is>
          <t>Software</t>
        </is>
      </c>
      <c r="E7" s="4" t="inlineStr">
        <is>
          <t>Adobe</t>
        </is>
      </c>
      <c r="F7" s="4" t="inlineStr">
        <is>
          <t>Bank Jago</t>
        </is>
      </c>
      <c r="G7" s="4" t="inlineStr">
        <is>
          <t>Langganan bulanan</t>
        </is>
      </c>
      <c r="H7" s="6" t="n">
        <v>289000</v>
      </c>
      <c r="I7" s="4">
        <f>IF(C7="Pemasukan",H7*XLOOKUP("Pajak",Pengaturan!A:A,Pengaturan!C:C,0),0)</f>
        <v/>
      </c>
      <c r="J7" s="4">
        <f>IF(C7="Pemasukan",H7*XLOOKUP("Dana Aman",Pengaturan!A:A,Pengaturan!C:C,0),0)</f>
        <v/>
      </c>
      <c r="K7" s="4">
        <f>IF(C7="Pemasukan",H7*XLOOKUP("Tabungan Tujuan",Pengaturan!A:A,Pengaturan!C:C,0),0)</f>
        <v/>
      </c>
      <c r="L7" s="4">
        <f>IF(C7="Pemasukan",H7-I7-J7-K7,-H7)</f>
        <v/>
      </c>
    </row>
    <row r="8">
      <c r="A8" s="4" t="inlineStr">
        <is>
          <t>2026-09-05</t>
        </is>
      </c>
      <c r="B8" s="4">
        <f>TEXT(A8,"mmmm yyyy")</f>
        <v/>
      </c>
      <c r="C8" s="4" t="inlineStr">
        <is>
          <t>Pemasukan</t>
        </is>
      </c>
      <c r="D8" s="4" t="inlineStr">
        <is>
          <t>Retainer</t>
        </is>
      </c>
      <c r="E8" s="4" t="inlineStr">
        <is>
          <t>Startup Lokal</t>
        </is>
      </c>
      <c r="F8" s="4" t="inlineStr">
        <is>
          <t>Bank BCA</t>
        </is>
      </c>
      <c r="G8" s="4" t="inlineStr">
        <is>
          <t>Fee konten bulanan</t>
        </is>
      </c>
      <c r="H8" s="6" t="n">
        <v>3000000</v>
      </c>
      <c r="I8" s="4">
        <f>IF(C8="Pemasukan",H8*XLOOKUP("Pajak",Pengaturan!A:A,Pengaturan!C:C,0),0)</f>
        <v/>
      </c>
      <c r="J8" s="4">
        <f>IF(C8="Pemasukan",H8*XLOOKUP("Dana Aman",Pengaturan!A:A,Pengaturan!C:C,0),0)</f>
        <v/>
      </c>
      <c r="K8" s="4">
        <f>IF(C8="Pemasukan",H8*XLOOKUP("Tabungan Tujuan",Pengaturan!A:A,Pengaturan!C:C,0),0)</f>
        <v/>
      </c>
      <c r="L8" s="4">
        <f>IF(C8="Pemasukan",H8-I8-J8-K8,-H8)</f>
        <v/>
      </c>
    </row>
    <row r="9">
      <c r="A9" s="4" t="inlineStr">
        <is>
          <t>2026-09-07</t>
        </is>
      </c>
      <c r="B9" s="4">
        <f>TEXT(A9,"mmmm yyyy")</f>
        <v/>
      </c>
      <c r="C9" s="4" t="inlineStr">
        <is>
          <t>Pengeluaran</t>
        </is>
      </c>
      <c r="D9" s="4" t="inlineStr">
        <is>
          <t>Internet</t>
        </is>
      </c>
      <c r="E9" s="4" t="inlineStr">
        <is>
          <t>Biznet</t>
        </is>
      </c>
      <c r="F9" s="4" t="inlineStr">
        <is>
          <t>Bank BCA</t>
        </is>
      </c>
      <c r="G9" s="4" t="inlineStr">
        <is>
          <t>Tagihan internet kerja</t>
        </is>
      </c>
      <c r="H9" s="6" t="n">
        <v>375000</v>
      </c>
      <c r="I9" s="4">
        <f>IF(C9="Pemasukan",H9*XLOOKUP("Pajak",Pengaturan!A:A,Pengaturan!C:C,0),0)</f>
        <v/>
      </c>
      <c r="J9" s="4">
        <f>IF(C9="Pemasukan",H9*XLOOKUP("Dana Aman",Pengaturan!A:A,Pengaturan!C:C,0),0)</f>
        <v/>
      </c>
      <c r="K9" s="4">
        <f>IF(C9="Pemasukan",H9*XLOOKUP("Tabungan Tujuan",Pengaturan!A:A,Pengaturan!C:C,0),0)</f>
        <v/>
      </c>
      <c r="L9" s="4">
        <f>IF(C9="Pemasukan",H9-I9-J9-K9,-H9)</f>
        <v/>
      </c>
    </row>
    <row r="10">
      <c r="A10" s="4" t="inlineStr">
        <is>
          <t>2026-09-12</t>
        </is>
      </c>
      <c r="B10" s="4">
        <f>TEXT(A10,"mmmm yyyy")</f>
        <v/>
      </c>
      <c r="C10" s="4" t="inlineStr">
        <is>
          <t>Pemasukan</t>
        </is>
      </c>
      <c r="D10" s="4" t="inlineStr">
        <is>
          <t>Bonus</t>
        </is>
      </c>
      <c r="E10" s="4" t="inlineStr">
        <is>
          <t>Klien Lama</t>
        </is>
      </c>
      <c r="F10" s="4" t="inlineStr">
        <is>
          <t>OVO</t>
        </is>
      </c>
      <c r="G10" s="4" t="inlineStr">
        <is>
          <t>Bonus revisi cepat</t>
        </is>
      </c>
      <c r="H10" s="6" t="n">
        <v>750000</v>
      </c>
      <c r="I10" s="4">
        <f>IF(C10="Pemasukan",H10*XLOOKUP("Pajak",Pengaturan!A:A,Pengaturan!C:C,0),0)</f>
        <v/>
      </c>
      <c r="J10" s="4">
        <f>IF(C10="Pemasukan",H10*XLOOKUP("Dana Aman",Pengaturan!A:A,Pengaturan!C:C,0),0)</f>
        <v/>
      </c>
      <c r="K10" s="4">
        <f>IF(C10="Pemasukan",H10*XLOOKUP("Tabungan Tujuan",Pengaturan!A:A,Pengaturan!C:C,0),0)</f>
        <v/>
      </c>
      <c r="L10" s="4">
        <f>IF(C10="Pemasukan",H10-I10-J10-K10,-H10)</f>
        <v/>
      </c>
    </row>
    <row r="11">
      <c r="A11" s="4" t="inlineStr">
        <is>
          <t>2026-09-18</t>
        </is>
      </c>
      <c r="B11" s="4">
        <f>TEXT(A11,"mmmm yyyy")</f>
        <v/>
      </c>
      <c r="C11" s="4" t="inlineStr">
        <is>
          <t>Pengeluaran</t>
        </is>
      </c>
      <c r="D11" s="4" t="inlineStr">
        <is>
          <t>Biaya Hidup</t>
        </is>
      </c>
      <c r="E11" s="4" t="inlineStr">
        <is>
          <t>Kebutuhan Rumah</t>
        </is>
      </c>
      <c r="F11" s="4" t="inlineStr">
        <is>
          <t>GoPay</t>
        </is>
      </c>
      <c r="G11" s="4" t="inlineStr">
        <is>
          <t>Belanja mingguan</t>
        </is>
      </c>
      <c r="H11" s="6" t="n">
        <v>620000</v>
      </c>
      <c r="I11" s="4">
        <f>IF(C11="Pemasukan",H11*XLOOKUP("Pajak",Pengaturan!A:A,Pengaturan!C:C,0),0)</f>
        <v/>
      </c>
      <c r="J11" s="4">
        <f>IF(C11="Pemasukan",H11*XLOOKUP("Dana Aman",Pengaturan!A:A,Pengaturan!C:C,0),0)</f>
        <v/>
      </c>
      <c r="K11" s="4">
        <f>IF(C11="Pemasukan",H11*XLOOKUP("Tabungan Tujuan",Pengaturan!A:A,Pengaturan!C:C,0),0)</f>
        <v/>
      </c>
      <c r="L11" s="4">
        <f>IF(C11="Pemasukan",H11-I11-J11-K11,-H11)</f>
        <v/>
      </c>
    </row>
    <row r="12">
      <c r="A12" s="4" t="n"/>
      <c r="B12" s="4">
        <f>TEXT(A12,"mmmm yyyy")</f>
        <v/>
      </c>
      <c r="C12" s="4" t="n"/>
      <c r="D12" s="4" t="n"/>
      <c r="E12" s="4" t="n"/>
      <c r="F12" s="4" t="n"/>
      <c r="G12" s="4" t="n"/>
      <c r="H12" s="4" t="n"/>
      <c r="I12" s="4">
        <f>IF(C12="Pemasukan",H12*XLOOKUP("Pajak",Pengaturan!A:A,Pengaturan!C:C,0),0)</f>
        <v/>
      </c>
      <c r="J12" s="4">
        <f>IF(C12="Pemasukan",H12*XLOOKUP("Dana Aman",Pengaturan!A:A,Pengaturan!C:C,0),0)</f>
        <v/>
      </c>
      <c r="K12" s="4">
        <f>IF(C12="Pemasukan",H12*XLOOKUP("Tabungan Tujuan",Pengaturan!A:A,Pengaturan!C:C,0),0)</f>
        <v/>
      </c>
      <c r="L12" s="4">
        <f>IF(C12="Pemasukan",H12-I12-J12-K12,-H12)</f>
        <v/>
      </c>
    </row>
    <row r="13">
      <c r="A13" s="4" t="n"/>
      <c r="B13" s="4">
        <f>TEXT(A13,"mmmm yyyy")</f>
        <v/>
      </c>
      <c r="C13" s="4" t="n"/>
      <c r="D13" s="4" t="n"/>
      <c r="E13" s="4" t="n"/>
      <c r="F13" s="4" t="n"/>
      <c r="G13" s="4" t="n"/>
      <c r="H13" s="4" t="n"/>
      <c r="I13" s="4">
        <f>IF(C13="Pemasukan",H13*XLOOKUP("Pajak",Pengaturan!A:A,Pengaturan!C:C,0),0)</f>
        <v/>
      </c>
      <c r="J13" s="4">
        <f>IF(C13="Pemasukan",H13*XLOOKUP("Dana Aman",Pengaturan!A:A,Pengaturan!C:C,0),0)</f>
        <v/>
      </c>
      <c r="K13" s="4">
        <f>IF(C13="Pemasukan",H13*XLOOKUP("Tabungan Tujuan",Pengaturan!A:A,Pengaturan!C:C,0),0)</f>
        <v/>
      </c>
      <c r="L13" s="4">
        <f>IF(C13="Pemasukan",H13-I13-J13-K13,-H13)</f>
        <v/>
      </c>
    </row>
    <row r="14">
      <c r="A14" s="4" t="n"/>
      <c r="B14" s="4">
        <f>TEXT(A14,"mmmm yyyy")</f>
        <v/>
      </c>
      <c r="C14" s="4" t="n"/>
      <c r="D14" s="4" t="n"/>
      <c r="E14" s="4" t="n"/>
      <c r="F14" s="4" t="n"/>
      <c r="G14" s="4" t="n"/>
      <c r="H14" s="4" t="n"/>
      <c r="I14" s="4">
        <f>IF(C14="Pemasukan",H14*XLOOKUP("Pajak",Pengaturan!A:A,Pengaturan!C:C,0),0)</f>
        <v/>
      </c>
      <c r="J14" s="4">
        <f>IF(C14="Pemasukan",H14*XLOOKUP("Dana Aman",Pengaturan!A:A,Pengaturan!C:C,0),0)</f>
        <v/>
      </c>
      <c r="K14" s="4">
        <f>IF(C14="Pemasukan",H14*XLOOKUP("Tabungan Tujuan",Pengaturan!A:A,Pengaturan!C:C,0),0)</f>
        <v/>
      </c>
      <c r="L14" s="4">
        <f>IF(C14="Pemasukan",H14-I14-J14-K14,-H14)</f>
        <v/>
      </c>
    </row>
    <row r="16">
      <c r="A16" s="7" t="inlineStr">
        <is>
          <t>Total Nominal</t>
        </is>
      </c>
      <c r="G16" s="8">
        <f>SUM(H6:H14)</f>
        <v/>
      </c>
    </row>
    <row r="17">
      <c r="A17" s="7" t="inlineStr">
        <is>
          <t>Total Alokasi Pajak</t>
        </is>
      </c>
      <c r="H17" s="8">
        <f>SUM(I6:I14)</f>
        <v/>
      </c>
    </row>
    <row r="18">
      <c r="A18" s="7" t="inlineStr">
        <is>
          <t>Total Alokasi Dana Aman</t>
        </is>
      </c>
      <c r="I18" s="8">
        <f>SUM(J6:J14)</f>
        <v/>
      </c>
    </row>
    <row r="19">
      <c r="A19" s="7" t="inlineStr">
        <is>
          <t>Total Alokasi Tabungan Tujuan</t>
        </is>
      </c>
      <c r="J19" s="8">
        <f>SUM(K6:K14)</f>
        <v/>
      </c>
    </row>
    <row r="20">
      <c r="A20" s="7" t="inlineStr">
        <is>
          <t>Total Sisa Siap Pakai</t>
        </is>
      </c>
      <c r="K20" s="8">
        <f>SUM(L6:L14)</f>
        <v/>
      </c>
    </row>
  </sheetData>
  <dataValidations count="3">
    <dataValidation sqref="C6:C19" showDropDown="0" showInputMessage="0" showErrorMessage="0" allowBlank="1" type="list">
      <formula1>"Pemasukan,Pengeluaran"</formula1>
    </dataValidation>
    <dataValidation sqref="D6:D19" showDropDown="0" showInputMessage="0" showErrorMessage="0" allowBlank="1" type="list">
      <formula1>"Proyek Klien,Retainer,Bonus,Biaya Hidup,Internet,Transport,Software,Pajak,Tabungan,Operasional Lain"</formula1>
    </dataValidation>
    <dataValidation sqref="F6:F19" showDropDown="0" showInputMessage="0" showErrorMessage="0" allowBlank="1" type="list">
      <formula1>"Bank BCA,Bank Jago,OVO,GoPay,Tunai"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2026-09-08T09:27:12Z</dcterms:created>
  <dcterms:modified xsi:type="dcterms:W3CDTF">2026-09-08T09:27:12Z</dcterms:modified>
</cp:coreProperties>
</file>