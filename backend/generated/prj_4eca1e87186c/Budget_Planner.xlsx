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amp; Ringkasan" sheetId="1" state="visible" r:id="rId1"/>
    <sheet name="Amplop Digital" sheetId="2" state="visible" r:id="rId2"/>
    <sheet name="Arus Kas Bulanan"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B6E6B"/>
      <sz val="14"/>
    </font>
    <font>
      <i val="1"/>
      <color rgb="005B6472"/>
    </font>
    <font>
      <b val="1"/>
      <color rgb="00FFFFFF"/>
      <sz val="11"/>
    </font>
    <font>
      <b val="1"/>
    </font>
    <font>
      <b val="1"/>
      <color rgb="00C07A2B"/>
    </font>
  </fonts>
  <fills count="3">
    <fill>
      <patternFill/>
    </fill>
    <fill>
      <patternFill patternType="gray125"/>
    </fill>
    <fill>
      <patternFill patternType="solid">
        <fgColor rgb="000B6E6B"/>
        <bgColor rgb="000B6E6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xf>
    <xf numFmtId="0" fontId="0" fillId="0" borderId="1" pivotButton="0" quotePrefix="0" xfId="0"/>
    <xf numFmtId="9" fontId="0" fillId="0" borderId="1" pivotButton="0" quotePrefix="0" xfId="0"/>
    <xf numFmtId="3" fontId="0" fillId="0" borderId="1"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5" topLeftCell="A6" activePane="bottomLeft" state="frozen"/>
      <selection pane="bottomLeft" activeCell="A1" sqref="A1"/>
    </sheetView>
  </sheetViews>
  <sheetFormatPr baseColWidth="8" defaultRowHeight="15"/>
  <cols>
    <col width="14" customWidth="1" min="1" max="1"/>
    <col width="14" customWidth="1" min="2" max="2"/>
    <col width="18" customWidth="1" min="3" max="3"/>
  </cols>
  <sheetData>
    <row r="1">
      <c r="A1" s="1" t="inlineStr">
        <is>
          <t>Petunjuk &amp; Ringkasan</t>
        </is>
      </c>
    </row>
    <row r="2">
      <c r="A2" t="inlineStr">
        <is>
          <t>Memberi panduan penggunaan singkat dan menampilkan angka inti bulanan agar pengguna bisa cek kondisi keuangan dalam beberapa menit.</t>
        </is>
      </c>
    </row>
    <row r="3">
      <c r="A3" s="2" t="inlineStr">
        <is>
          <t>Urutan pakai: 1) Isi target persentase di sheet Amplop Digital. 2) Catat semua pemasukan dan pengeluaran di sheet Arus Kas Bulanan. 3) Cek ringkasan di sheet ini setiap akhir bulan. Fokus utama: pastikan pajak, dana aman, dan biaya hidup terisi sebelum uang dipakai.</t>
        </is>
      </c>
    </row>
    <row r="5">
      <c r="A5" s="3" t="inlineStr">
        <is>
          <t>Bagian</t>
        </is>
      </c>
      <c r="B5" s="3" t="inlineStr">
        <is>
          <t>Nilai</t>
        </is>
      </c>
      <c r="C5" s="3" t="inlineStr">
        <is>
          <t>Keterangan</t>
        </is>
      </c>
    </row>
    <row r="6">
      <c r="A6" s="4" t="inlineStr">
        <is>
          <t>Total Pemasukan Bulan Ini</t>
        </is>
      </c>
      <c r="B6" s="4">
        <f>B6</f>
        <v/>
      </c>
      <c r="C6" s="4" t="inlineStr">
        <is>
          <t>Jumlah semua pemasukan tercatat</t>
        </is>
      </c>
    </row>
    <row r="7">
      <c r="A7" s="4" t="inlineStr">
        <is>
          <t>Total Pengeluaran Bulan Ini</t>
        </is>
      </c>
      <c r="B7" s="4">
        <f>B7</f>
        <v/>
      </c>
      <c r="C7" s="4" t="inlineStr">
        <is>
          <t>Jumlah semua pengeluaran tercatat</t>
        </is>
      </c>
    </row>
    <row r="8">
      <c r="A8" s="4" t="inlineStr">
        <is>
          <t>Arus Kas Bersih</t>
        </is>
      </c>
      <c r="B8" s="4">
        <f>B8</f>
        <v/>
      </c>
      <c r="C8" s="4" t="inlineStr">
        <is>
          <t>Positif = aman, negatif = perlu evaluasi</t>
        </is>
      </c>
    </row>
    <row r="9">
      <c r="A9" s="4" t="inlineStr">
        <is>
          <t>Setoran Ideal ke Pajak</t>
        </is>
      </c>
      <c r="B9" s="4">
        <f>B9</f>
        <v/>
      </c>
      <c r="C9" s="4" t="inlineStr">
        <is>
          <t>Target alokasi pajak dari pemasukan</t>
        </is>
      </c>
    </row>
    <row r="10">
      <c r="A10" s="4" t="inlineStr">
        <is>
          <t>Setoran Ideal ke Dana Aman</t>
        </is>
      </c>
      <c r="B10" s="4">
        <f>B10</f>
        <v/>
      </c>
      <c r="C10" s="4" t="inlineStr">
        <is>
          <t>Cadangan untuk bulan sepi</t>
        </is>
      </c>
    </row>
    <row r="11">
      <c r="A11" s="4" t="inlineStr">
        <is>
          <t>Setoran Ideal ke Tabungan Tujuan</t>
        </is>
      </c>
      <c r="B11" s="4">
        <f>B11</f>
        <v/>
      </c>
      <c r="C11" s="4" t="inlineStr">
        <is>
          <t>Untuk tujuan jangka pendek/menengah</t>
        </is>
      </c>
    </row>
    <row r="12">
      <c r="A12" s="4" t="inlineStr">
        <is>
          <t>Sisa Siap Pakai</t>
        </is>
      </c>
      <c r="B12" s="4">
        <f>B12</f>
        <v/>
      </c>
      <c r="C12" s="4" t="inlineStr">
        <is>
          <t>Uang yang boleh dipakai untuk hidup &amp; operasional</t>
        </is>
      </c>
    </row>
    <row r="13">
      <c r="A13" s="4" t="n"/>
      <c r="B13" s="4">
        <f>B13</f>
        <v/>
      </c>
      <c r="C13" s="4" t="n"/>
    </row>
    <row r="14">
      <c r="A14" s="4" t="n"/>
      <c r="B14" s="4">
        <f>B14</f>
        <v/>
      </c>
      <c r="C14" s="4" t="n"/>
    </row>
    <row r="15">
      <c r="A15" s="4" t="n"/>
      <c r="B15" s="4">
        <f>B15</f>
        <v/>
      </c>
      <c r="C15"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5" topLeftCell="A6" activePane="bottomLeft" state="frozen"/>
      <selection pane="bottomLeft" activeCell="A1" sqref="A1"/>
    </sheetView>
  </sheetViews>
  <sheetFormatPr baseColWidth="8" defaultRowHeight="15"/>
  <cols>
    <col width="14" customWidth="1" min="1" max="1"/>
    <col width="17" customWidth="1" min="2" max="2"/>
    <col width="25" customWidth="1" min="3" max="3"/>
    <col width="18" customWidth="1" min="4" max="4"/>
    <col width="33" customWidth="1" min="5" max="5"/>
    <col width="24" customWidth="1" min="6" max="6"/>
    <col width="36" customWidth="1" min="7" max="7"/>
  </cols>
  <sheetData>
    <row r="1">
      <c r="A1" s="1" t="inlineStr">
        <is>
          <t>Amplop Digital</t>
        </is>
      </c>
    </row>
    <row r="2">
      <c r="A2" t="inlineStr">
        <is>
          <t>Menentukan pembagian otomatis setiap kali ada pemasukan agar freelancer tidak bingung berapa yang harus disisihkan untuk pajak, kebutuhan hidup, dana aman, dan tabungan.</t>
        </is>
      </c>
    </row>
    <row r="3">
      <c r="A3" s="2" t="inlineStr">
        <is>
          <t>Isi persentase target sesuai kondisi Anda. Total persentase ideal = 100%. Kolom Alokasi Otomatis menghitung nominal berdasarkan total pemasukan yang tercatat di sheet Arus Kas Bulanan. Gunakan ini sebagai panduan transfer ke rekening/amplop terpisah setiap bulan.</t>
        </is>
      </c>
    </row>
    <row r="5">
      <c r="A5" s="3" t="inlineStr">
        <is>
          <t>Amplop</t>
        </is>
      </c>
      <c r="B5" s="3" t="inlineStr">
        <is>
          <t>Prioritas</t>
        </is>
      </c>
      <c r="C5" s="3" t="inlineStr">
        <is>
          <t>Persentase Target</t>
        </is>
      </c>
      <c r="D5" s="3" t="inlineStr">
        <is>
          <t>Saldo Awal</t>
        </is>
      </c>
      <c r="E5" s="3" t="inlineStr">
        <is>
          <t>Total Pemasukan Bulan Ini</t>
        </is>
      </c>
      <c r="F5" s="3" t="inlineStr">
        <is>
          <t>Alokasi Otomatis</t>
        </is>
      </c>
      <c r="G5" s="3" t="inlineStr">
        <is>
          <t>Saldo Disarankan Akhir Bulan</t>
        </is>
      </c>
    </row>
    <row r="6">
      <c r="A6" s="4" t="inlineStr">
        <is>
          <t>Pajak</t>
        </is>
      </c>
      <c r="B6" s="4" t="inlineStr">
        <is>
          <t>Wajib</t>
        </is>
      </c>
      <c r="C6" s="5" t="n">
        <v>0.15</v>
      </c>
      <c r="D6" s="6" t="n">
        <v>1500000</v>
      </c>
      <c r="E6" s="4">
        <f>SUMIFS('Arus Kas Bulanan'!F:F,'Arus Kas Bulanan'!C:C,"Pemasukan")</f>
        <v/>
      </c>
      <c r="F6" s="4">
        <f>C6*E6</f>
        <v/>
      </c>
      <c r="G6" s="4">
        <f>D6+F6</f>
        <v/>
      </c>
    </row>
    <row r="7">
      <c r="A7" s="4" t="inlineStr">
        <is>
          <t>Biaya Hidup</t>
        </is>
      </c>
      <c r="B7" s="4" t="inlineStr">
        <is>
          <t>Wajib</t>
        </is>
      </c>
      <c r="C7" s="5" t="n">
        <v>0.4</v>
      </c>
      <c r="D7" s="6" t="n">
        <v>800000</v>
      </c>
      <c r="E7" s="4">
        <f>SUMIFS('Arus Kas Bulanan'!F:F,'Arus Kas Bulanan'!C:C,"Pemasukan")</f>
        <v/>
      </c>
      <c r="F7" s="4">
        <f>C7*E7</f>
        <v/>
      </c>
      <c r="G7" s="4">
        <f>D7+F7</f>
        <v/>
      </c>
    </row>
    <row r="8">
      <c r="A8" s="4" t="inlineStr">
        <is>
          <t>Operasional Kerja</t>
        </is>
      </c>
      <c r="B8" s="4" t="inlineStr">
        <is>
          <t>Penting</t>
        </is>
      </c>
      <c r="C8" s="5" t="n">
        <v>0.15</v>
      </c>
      <c r="D8" s="6" t="n">
        <v>250000</v>
      </c>
      <c r="E8" s="4">
        <f>SUMIFS('Arus Kas Bulanan'!F:F,'Arus Kas Bulanan'!C:C,"Pemasukan")</f>
        <v/>
      </c>
      <c r="F8" s="4">
        <f>C8*E8</f>
        <v/>
      </c>
      <c r="G8" s="4">
        <f>D8+F8</f>
        <v/>
      </c>
    </row>
    <row r="9">
      <c r="A9" s="4" t="inlineStr">
        <is>
          <t>Dana Aman</t>
        </is>
      </c>
      <c r="B9" s="4" t="inlineStr">
        <is>
          <t>Penting</t>
        </is>
      </c>
      <c r="C9" s="5" t="n">
        <v>0.15</v>
      </c>
      <c r="D9" s="6" t="n">
        <v>3000000</v>
      </c>
      <c r="E9" s="4">
        <f>SUMIFS('Arus Kas Bulanan'!F:F,'Arus Kas Bulanan'!C:C,"Pemasukan")</f>
        <v/>
      </c>
      <c r="F9" s="4">
        <f>C9*E9</f>
        <v/>
      </c>
      <c r="G9" s="4">
        <f>D9+F9</f>
        <v/>
      </c>
    </row>
    <row r="10">
      <c r="A10" s="4" t="inlineStr">
        <is>
          <t>Tabungan Tujuan</t>
        </is>
      </c>
      <c r="B10" s="4" t="inlineStr">
        <is>
          <t>Penting</t>
        </is>
      </c>
      <c r="C10" s="5" t="n">
        <v>0.1</v>
      </c>
      <c r="D10" s="6" t="n">
        <v>500000</v>
      </c>
      <c r="E10" s="4">
        <f>SUMIFS('Arus Kas Bulanan'!F:F,'Arus Kas Bulanan'!C:C,"Pemasukan")</f>
        <v/>
      </c>
      <c r="F10" s="4">
        <f>C10*E10</f>
        <v/>
      </c>
      <c r="G10" s="4">
        <f>D10+F10</f>
        <v/>
      </c>
    </row>
    <row r="11">
      <c r="A11" s="4" t="inlineStr">
        <is>
          <t>Hiburan</t>
        </is>
      </c>
      <c r="B11" s="4" t="inlineStr">
        <is>
          <t>Fleksibel</t>
        </is>
      </c>
      <c r="C11" s="5" t="n">
        <v>0.05</v>
      </c>
      <c r="D11" s="6" t="n">
        <v>100000</v>
      </c>
      <c r="E11" s="4">
        <f>SUMIFS('Arus Kas Bulanan'!F:F,'Arus Kas Bulanan'!C:C,"Pemasukan")</f>
        <v/>
      </c>
      <c r="F11" s="4">
        <f>C11*E11</f>
        <v/>
      </c>
      <c r="G11" s="4">
        <f>D11+F11</f>
        <v/>
      </c>
    </row>
    <row r="12">
      <c r="A12" s="4" t="n"/>
      <c r="B12" s="4" t="n"/>
      <c r="C12" s="4" t="n"/>
      <c r="D12" s="4" t="n"/>
      <c r="E12" s="4">
        <f>SUMIFS('Arus Kas Bulanan'!F:F,'Arus Kas Bulanan'!C:C,"Pemasukan")</f>
        <v/>
      </c>
      <c r="F12" s="4">
        <f>C12*E12</f>
        <v/>
      </c>
      <c r="G12" s="4">
        <f>D12+F12</f>
        <v/>
      </c>
    </row>
    <row r="13">
      <c r="A13" s="4" t="n"/>
      <c r="B13" s="4" t="n"/>
      <c r="C13" s="4" t="n"/>
      <c r="D13" s="4" t="n"/>
      <c r="E13" s="4">
        <f>SUMIFS('Arus Kas Bulanan'!F:F,'Arus Kas Bulanan'!C:C,"Pemasukan")</f>
        <v/>
      </c>
      <c r="F13" s="4">
        <f>C13*E13</f>
        <v/>
      </c>
      <c r="G13" s="4">
        <f>D13+F13</f>
        <v/>
      </c>
    </row>
    <row r="14">
      <c r="A14" s="4" t="n"/>
      <c r="B14" s="4" t="n"/>
      <c r="C14" s="4" t="n"/>
      <c r="D14" s="4" t="n"/>
      <c r="E14" s="4">
        <f>SUMIFS('Arus Kas Bulanan'!F:F,'Arus Kas Bulanan'!C:C,"Pemasukan")</f>
        <v/>
      </c>
      <c r="F14" s="4">
        <f>C14*E14</f>
        <v/>
      </c>
      <c r="G14" s="4">
        <f>D14+F14</f>
        <v/>
      </c>
    </row>
    <row r="16">
      <c r="A16" s="7" t="inlineStr">
        <is>
          <t>Total Persentase</t>
        </is>
      </c>
      <c r="B16" s="8">
        <f>SUM(C6:C14)</f>
        <v/>
      </c>
    </row>
    <row r="17">
      <c r="A17" s="7" t="inlineStr">
        <is>
          <t>Total Alokasi Otomatis</t>
        </is>
      </c>
      <c r="E17" s="8">
        <f>SUM(F6:F14)</f>
        <v/>
      </c>
    </row>
  </sheetData>
  <dataValidations count="2">
    <dataValidation sqref="A6:A19" showDropDown="0" showInputMessage="0" showErrorMessage="0" allowBlank="1" type="list">
      <formula1>"Pajak,Biaya Hidup,Operasional Kerja,Dana Aman,Tabungan Tujuan,Hiburan"</formula1>
    </dataValidation>
    <dataValidation sqref="B6:B19" showDropDown="0" showInputMessage="0" showErrorMessage="0" allowBlank="1" type="list">
      <formula1>"Wajib,Penting,Fleksibel"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workbookViewId="0">
      <pane ySplit="5" topLeftCell="A6" activePane="bottomLeft" state="frozen"/>
      <selection pane="bottomLeft" activeCell="A1" sqref="A1"/>
    </sheetView>
  </sheetViews>
  <sheetFormatPr baseColWidth="8" defaultRowHeight="15"/>
  <cols>
    <col width="15" customWidth="1" min="1" max="1"/>
    <col width="17" customWidth="1" min="2" max="2"/>
    <col width="14" customWidth="1" min="3" max="3"/>
    <col width="16" customWidth="1" min="4" max="4"/>
    <col width="20" customWidth="1" min="5" max="5"/>
    <col width="15" customWidth="1" min="6" max="6"/>
    <col width="14" customWidth="1" min="7" max="7"/>
    <col width="14" customWidth="1" min="8" max="8"/>
    <col width="23" customWidth="1" min="9" max="9"/>
  </cols>
  <sheetData>
    <row r="1">
      <c r="A1" s="1" t="inlineStr">
        <is>
          <t>Arus Kas Bulanan</t>
        </is>
      </c>
    </row>
    <row r="2">
      <c r="A2" t="inlineStr">
        <is>
          <t>Mencatat semua pemasukan dan pengeluaran agar kondisi kas terlihat jelas, termasuk sumber proyek, jenis transaksi, dan dampaknya ke saldo berjalan.</t>
        </is>
      </c>
    </row>
    <row r="3">
      <c r="A3" s="2" t="inlineStr">
        <is>
          <t>Catat setiap transaksi satu baris. Untuk pemasukan, isi nominal positif dan pilih kategori pemasukan. Untuk pengeluaran, pilih kategori biaya yang sesuai. Sheet ini menjadi sumber utama seluruh ringkasan dan alokasi otomatis.</t>
        </is>
      </c>
    </row>
    <row r="5">
      <c r="A5" s="3" t="inlineStr">
        <is>
          <t>Tanggal</t>
        </is>
      </c>
      <c r="B5" s="3" t="inlineStr">
        <is>
          <t>Deskripsi</t>
        </is>
      </c>
      <c r="C5" s="3" t="inlineStr">
        <is>
          <t>Jenis</t>
        </is>
      </c>
      <c r="D5" s="3" t="inlineStr">
        <is>
          <t>Kategori</t>
        </is>
      </c>
      <c r="E5" s="3" t="inlineStr">
        <is>
          <t>Klien/Metode</t>
        </is>
      </c>
      <c r="F5" s="3" t="inlineStr">
        <is>
          <t>Nominal</t>
        </is>
      </c>
      <c r="G5" s="3" t="inlineStr">
        <is>
          <t>Masuk</t>
        </is>
      </c>
      <c r="H5" s="3" t="inlineStr">
        <is>
          <t>Keluar</t>
        </is>
      </c>
      <c r="I5" s="3" t="inlineStr">
        <is>
          <t>Arus Kas Bersih</t>
        </is>
      </c>
    </row>
    <row r="6">
      <c r="A6" s="4" t="inlineStr">
        <is>
          <t>2026-09-01</t>
        </is>
      </c>
      <c r="B6" s="4" t="inlineStr">
        <is>
          <t>Pembayaran desain landing page</t>
        </is>
      </c>
      <c r="C6" s="4" t="inlineStr">
        <is>
          <t>Pemasukan</t>
        </is>
      </c>
      <c r="D6" s="4" t="inlineStr">
        <is>
          <t>Proyek Klien</t>
        </is>
      </c>
      <c r="E6" s="4" t="inlineStr">
        <is>
          <t>Klien A - Transfer</t>
        </is>
      </c>
      <c r="F6" s="6" t="n">
        <v>4500000</v>
      </c>
      <c r="G6" s="4">
        <f>IF(C6="Pemasukan",F6,0)</f>
        <v/>
      </c>
      <c r="H6" s="4">
        <f>IF(C6="Pengeluaran",F6,0)</f>
        <v/>
      </c>
      <c r="I6" s="4">
        <f>G6-H6</f>
        <v/>
      </c>
    </row>
    <row r="7">
      <c r="A7" s="4" t="inlineStr">
        <is>
          <t>2026-09-02</t>
        </is>
      </c>
      <c r="B7" s="4" t="inlineStr">
        <is>
          <t>Langganan Canva Pro</t>
        </is>
      </c>
      <c r="C7" s="4" t="inlineStr">
        <is>
          <t>Pengeluaran</t>
        </is>
      </c>
      <c r="D7" s="4" t="inlineStr">
        <is>
          <t>Operasional Kerja</t>
        </is>
      </c>
      <c r="E7" s="4" t="inlineStr">
        <is>
          <t>Kartu debit</t>
        </is>
      </c>
      <c r="F7" s="6" t="n">
        <v>95000</v>
      </c>
      <c r="G7" s="4">
        <f>IF(C7="Pemasukan",F7,0)</f>
        <v/>
      </c>
      <c r="H7" s="4">
        <f>IF(C7="Pengeluaran",F7,0)</f>
        <v/>
      </c>
      <c r="I7" s="4">
        <f>G7-H7</f>
        <v/>
      </c>
    </row>
    <row r="8">
      <c r="A8" s="4" t="inlineStr">
        <is>
          <t>2026-09-03</t>
        </is>
      </c>
      <c r="B8" s="4" t="inlineStr">
        <is>
          <t>Retainer konten bulanan</t>
        </is>
      </c>
      <c r="C8" s="4" t="inlineStr">
        <is>
          <t>Pemasukan</t>
        </is>
      </c>
      <c r="D8" s="4" t="inlineStr">
        <is>
          <t>Retainer</t>
        </is>
      </c>
      <c r="E8" s="4" t="inlineStr">
        <is>
          <t>Klien B - Transfer</t>
        </is>
      </c>
      <c r="F8" s="6" t="n">
        <v>3000000</v>
      </c>
      <c r="G8" s="4">
        <f>IF(C8="Pemasukan",F8,0)</f>
        <v/>
      </c>
      <c r="H8" s="4">
        <f>IF(C8="Pengeluaran",F8,0)</f>
        <v/>
      </c>
      <c r="I8" s="4">
        <f>G8-H8</f>
        <v/>
      </c>
    </row>
    <row r="9">
      <c r="A9" s="4" t="inlineStr">
        <is>
          <t>2026-09-04</t>
        </is>
      </c>
      <c r="B9" s="4" t="inlineStr">
        <is>
          <t>Belanja bulanan</t>
        </is>
      </c>
      <c r="C9" s="4" t="inlineStr">
        <is>
          <t>Pengeluaran</t>
        </is>
      </c>
      <c r="D9" s="4" t="inlineStr">
        <is>
          <t>Biaya Hidup</t>
        </is>
      </c>
      <c r="E9" s="4" t="inlineStr">
        <is>
          <t>QRIS</t>
        </is>
      </c>
      <c r="F9" s="6" t="n">
        <v>1200000</v>
      </c>
      <c r="G9" s="4">
        <f>IF(C9="Pemasukan",F9,0)</f>
        <v/>
      </c>
      <c r="H9" s="4">
        <f>IF(C9="Pengeluaran",F9,0)</f>
        <v/>
      </c>
      <c r="I9" s="4">
        <f>G9-H9</f>
        <v/>
      </c>
    </row>
    <row r="10">
      <c r="A10" s="4" t="inlineStr">
        <is>
          <t>2026-09-05</t>
        </is>
      </c>
      <c r="B10" s="4" t="inlineStr">
        <is>
          <t>Setor amplop pajak</t>
        </is>
      </c>
      <c r="C10" s="4" t="inlineStr">
        <is>
          <t>Pengeluaran</t>
        </is>
      </c>
      <c r="D10" s="4" t="inlineStr">
        <is>
          <t>Pajak</t>
        </is>
      </c>
      <c r="E10" s="4" t="inlineStr">
        <is>
          <t>Transfer bank</t>
        </is>
      </c>
      <c r="F10" s="6" t="n">
        <v>1125000</v>
      </c>
      <c r="G10" s="4">
        <f>IF(C10="Pemasukan",F10,0)</f>
        <v/>
      </c>
      <c r="H10" s="4">
        <f>IF(C10="Pengeluaran",F10,0)</f>
        <v/>
      </c>
      <c r="I10" s="4">
        <f>G10-H10</f>
        <v/>
      </c>
    </row>
    <row r="11">
      <c r="A11" s="4" t="inlineStr">
        <is>
          <t>2026-09-06</t>
        </is>
      </c>
      <c r="B11" s="4" t="inlineStr">
        <is>
          <t>Setor dana aman</t>
        </is>
      </c>
      <c r="C11" s="4" t="inlineStr">
        <is>
          <t>Pengeluaran</t>
        </is>
      </c>
      <c r="D11" s="4" t="inlineStr">
        <is>
          <t>Tabungan</t>
        </is>
      </c>
      <c r="E11" s="4" t="inlineStr">
        <is>
          <t>Transfer bank</t>
        </is>
      </c>
      <c r="F11" s="6" t="n">
        <v>750000</v>
      </c>
      <c r="G11" s="4">
        <f>IF(C11="Pemasukan",F11,0)</f>
        <v/>
      </c>
      <c r="H11" s="4">
        <f>IF(C11="Pengeluaran",F11,0)</f>
        <v/>
      </c>
      <c r="I11" s="4">
        <f>G11-H11</f>
        <v/>
      </c>
    </row>
    <row r="12">
      <c r="A12" s="4" t="n"/>
      <c r="B12" s="4" t="n"/>
      <c r="C12" s="4" t="n"/>
      <c r="D12" s="4" t="n"/>
      <c r="E12" s="4" t="n"/>
      <c r="F12" s="4" t="n"/>
      <c r="G12" s="4">
        <f>IF(C12="Pemasukan",F12,0)</f>
        <v/>
      </c>
      <c r="H12" s="4">
        <f>IF(C12="Pengeluaran",F12,0)</f>
        <v/>
      </c>
      <c r="I12" s="4">
        <f>G12-H12</f>
        <v/>
      </c>
    </row>
    <row r="13">
      <c r="A13" s="4" t="n"/>
      <c r="B13" s="4" t="n"/>
      <c r="C13" s="4" t="n"/>
      <c r="D13" s="4" t="n"/>
      <c r="E13" s="4" t="n"/>
      <c r="F13" s="4" t="n"/>
      <c r="G13" s="4">
        <f>IF(C13="Pemasukan",F13,0)</f>
        <v/>
      </c>
      <c r="H13" s="4">
        <f>IF(C13="Pengeluaran",F13,0)</f>
        <v/>
      </c>
      <c r="I13" s="4">
        <f>G13-H13</f>
        <v/>
      </c>
    </row>
    <row r="14">
      <c r="A14" s="4" t="n"/>
      <c r="B14" s="4" t="n"/>
      <c r="C14" s="4" t="n"/>
      <c r="D14" s="4" t="n"/>
      <c r="E14" s="4" t="n"/>
      <c r="F14" s="4" t="n"/>
      <c r="G14" s="4">
        <f>IF(C14="Pemasukan",F14,0)</f>
        <v/>
      </c>
      <c r="H14" s="4">
        <f>IF(C14="Pengeluaran",F14,0)</f>
        <v/>
      </c>
      <c r="I14" s="4">
        <f>G14-H14</f>
        <v/>
      </c>
    </row>
    <row r="16">
      <c r="A16" s="7" t="inlineStr">
        <is>
          <t>Total Nominal</t>
        </is>
      </c>
      <c r="E16" s="8">
        <f>SUM(F6:F14)</f>
        <v/>
      </c>
    </row>
    <row r="17">
      <c r="A17" s="7" t="inlineStr">
        <is>
          <t>Total Masuk</t>
        </is>
      </c>
      <c r="F17" s="8">
        <f>SUM(G6:G14)</f>
        <v/>
      </c>
    </row>
    <row r="18">
      <c r="A18" s="7" t="inlineStr">
        <is>
          <t>Total Keluar</t>
        </is>
      </c>
      <c r="G18" s="8">
        <f>SUM(H6:H14)</f>
        <v/>
      </c>
    </row>
    <row r="19">
      <c r="A19" s="7" t="inlineStr">
        <is>
          <t>Arus Kas Bersih</t>
        </is>
      </c>
      <c r="H19" s="8">
        <f>SUM(I6:I14)</f>
        <v/>
      </c>
    </row>
  </sheetData>
  <dataValidations count="2">
    <dataValidation sqref="C6:C19" showDropDown="0" showInputMessage="0" showErrorMessage="0" allowBlank="1" type="list">
      <formula1>"Pemasukan,Pengeluaran"</formula1>
    </dataValidation>
    <dataValidation sqref="D6:D19" showDropDown="0" showInputMessage="0" showErrorMessage="0" allowBlank="1" type="list">
      <formula1>"Proyek Klien,Retainer,Bonus,Biaya Hidup,Operasional Kerja,Pajak,Tabungan,Hiburan,Transfer Amplop"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2026-09-08T09:25:57Z</dcterms:created>
  <dcterms:modified xsi:type="dcterms:W3CDTF">2026-09-08T09:25:57Z</dcterms:modified>
</cp:coreProperties>
</file>