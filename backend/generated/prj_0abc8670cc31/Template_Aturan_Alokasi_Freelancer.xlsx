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uran_Alokasi" sheetId="1" state="visible" r:id="rId1"/>
    <sheet name="Fallback_Bulan_Se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B6E6B"/>
      <sz val="14"/>
    </font>
    <font>
      <i val="1"/>
      <color rgb="005B6472"/>
    </font>
    <font>
      <b val="1"/>
      <color rgb="00FFFFFF"/>
      <sz val="11"/>
    </font>
    <font>
      <b val="1"/>
    </font>
    <font>
      <b val="1"/>
      <color rgb="00C07A2B"/>
    </font>
  </fonts>
  <fills count="3">
    <fill>
      <patternFill/>
    </fill>
    <fill>
      <patternFill patternType="gray125"/>
    </fill>
    <fill>
      <patternFill patternType="solid">
        <fgColor rgb="000B6E6B"/>
        <bgColor rgb="000B6E6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40" customWidth="1" min="3" max="3"/>
    <col width="21" customWidth="1" min="4" max="4"/>
    <col width="22" customWidth="1" min="5" max="5"/>
    <col width="20" customWidth="1" min="6" max="6"/>
    <col width="23" customWidth="1" min="7" max="7"/>
    <col width="20" customWidth="1" min="8" max="8"/>
    <col width="21" customWidth="1" min="9" max="9"/>
    <col width="17" customWidth="1" min="10" max="10"/>
    <col width="15" customWidth="1" min="11" max="11"/>
  </cols>
  <sheetData>
    <row r="1">
      <c r="A1" s="1" t="inlineStr">
        <is>
          <t>Aturan_Alokasi</t>
        </is>
      </c>
    </row>
    <row r="2">
      <c r="A2" t="inlineStr">
        <is>
          <t>Menyusun aturan pembagian uang per sumber pemasukan agar setiap pembayaran masuk langsung terbagi ke kantong yang benar.</t>
        </is>
      </c>
    </row>
    <row r="3">
      <c r="A3" s="2" t="inlineStr">
        <is>
          <t>Isi satu baris untuk setiap sumber pemasukan. Tentukan persentase untuk kantong Bisnis, Pribadi, Pajak, dan Tabungan. Total persentase harus 100%. Kolom status akan membantu mengecek apakah aturan sudah valid. Gunakan prioritas untuk menentukan aturan mana yang dipakai lebih dulu jika nama sumber mirip.</t>
        </is>
      </c>
    </row>
    <row r="5">
      <c r="A5" s="3" t="inlineStr">
        <is>
          <t>Sumber Pemasukan</t>
        </is>
      </c>
      <c r="B5" s="3" t="inlineStr">
        <is>
          <t>Kategori Kerja</t>
        </is>
      </c>
      <c r="C5" s="3" t="inlineStr">
        <is>
          <t>Minimal Nominal Pakai Aturan Ini</t>
        </is>
      </c>
      <c r="D5" s="3" t="inlineStr">
        <is>
          <t>Persen Bisnis</t>
        </is>
      </c>
      <c r="E5" s="3" t="inlineStr">
        <is>
          <t>Persen Pribadi</t>
        </is>
      </c>
      <c r="F5" s="3" t="inlineStr">
        <is>
          <t>Persen Pajak</t>
        </is>
      </c>
      <c r="G5" s="3" t="inlineStr">
        <is>
          <t>Persen Tabungan</t>
        </is>
      </c>
      <c r="H5" s="3" t="inlineStr">
        <is>
          <t>Total Persen</t>
        </is>
      </c>
      <c r="I5" s="3" t="inlineStr">
        <is>
          <t>Status Aturan</t>
        </is>
      </c>
      <c r="J5" s="3" t="inlineStr">
        <is>
          <t>Prioritas</t>
        </is>
      </c>
      <c r="K5" s="3" t="inlineStr">
        <is>
          <t>Catatan</t>
        </is>
      </c>
    </row>
    <row r="6">
      <c r="A6" s="4" t="inlineStr">
        <is>
          <t>Klien Retainer Utama</t>
        </is>
      </c>
      <c r="B6" s="4" t="inlineStr">
        <is>
          <t>Retainer</t>
        </is>
      </c>
      <c r="C6" s="5" t="n">
        <v>3000000</v>
      </c>
      <c r="D6" s="4" t="inlineStr">
        <is>
          <t>20%</t>
        </is>
      </c>
      <c r="E6" s="4" t="inlineStr">
        <is>
          <t>45%</t>
        </is>
      </c>
      <c r="F6" s="4" t="inlineStr">
        <is>
          <t>20%</t>
        </is>
      </c>
      <c r="G6" s="4" t="inlineStr">
        <is>
          <t>15%</t>
        </is>
      </c>
      <c r="H6" s="4">
        <f>D6+E6+F6+G6</f>
        <v/>
      </c>
      <c r="I6" s="4">
        <f>IF(H6=100%,"Valid","Cek Persentase")</f>
        <v/>
      </c>
      <c r="J6" s="4" t="n">
        <v>1</v>
      </c>
      <c r="K6" s="4" t="inlineStr">
        <is>
          <t>Untuk pemasukan bulanan paling stabil</t>
        </is>
      </c>
    </row>
    <row r="7">
      <c r="A7" s="4" t="inlineStr">
        <is>
          <t>Proyek Desain Sekali Jalan</t>
        </is>
      </c>
      <c r="B7" s="4" t="inlineStr">
        <is>
          <t>Proyek Sekali</t>
        </is>
      </c>
      <c r="C7" s="5" t="n">
        <v>1500000</v>
      </c>
      <c r="D7" s="4" t="inlineStr">
        <is>
          <t>25%</t>
        </is>
      </c>
      <c r="E7" s="4" t="inlineStr">
        <is>
          <t>35%</t>
        </is>
      </c>
      <c r="F7" s="4" t="inlineStr">
        <is>
          <t>25%</t>
        </is>
      </c>
      <c r="G7" s="4" t="inlineStr">
        <is>
          <t>15%</t>
        </is>
      </c>
      <c r="H7" s="4">
        <f>D7+E7+F7+G7</f>
        <v/>
      </c>
      <c r="I7" s="4">
        <f>IF(H7=100%,"Valid","Cek Persentase")</f>
        <v/>
      </c>
      <c r="J7" s="4" t="n">
        <v>2</v>
      </c>
      <c r="K7" s="4" t="inlineStr">
        <is>
          <t>Pajak lebih besar karena nominal sering besar</t>
        </is>
      </c>
    </row>
    <row r="8">
      <c r="A8" s="4" t="inlineStr">
        <is>
          <t>Marketplace Fiverr/Upwork</t>
        </is>
      </c>
      <c r="B8" s="4" t="inlineStr">
        <is>
          <t>Marketplace</t>
        </is>
      </c>
      <c r="C8" s="5" t="n">
        <v>500000</v>
      </c>
      <c r="D8" s="4" t="inlineStr">
        <is>
          <t>15%</t>
        </is>
      </c>
      <c r="E8" s="4" t="inlineStr">
        <is>
          <t>40%</t>
        </is>
      </c>
      <c r="F8" s="4" t="inlineStr">
        <is>
          <t>25%</t>
        </is>
      </c>
      <c r="G8" s="4" t="inlineStr">
        <is>
          <t>20%</t>
        </is>
      </c>
      <c r="H8" s="4">
        <f>D8+E8+F8+G8</f>
        <v/>
      </c>
      <c r="I8" s="4">
        <f>IF(H8=100%,"Valid","Cek Persentase")</f>
        <v/>
      </c>
      <c r="J8" s="4" t="n">
        <v>3</v>
      </c>
      <c r="K8" s="4" t="inlineStr">
        <is>
          <t>Cocok untuk fee platform yang fluktuatif</t>
        </is>
      </c>
    </row>
    <row r="9">
      <c r="A9" s="4" t="inlineStr">
        <is>
          <t>Klien Lama Repeat Order</t>
        </is>
      </c>
      <c r="B9" s="4" t="inlineStr">
        <is>
          <t>Klien Lama</t>
        </is>
      </c>
      <c r="C9" s="5" t="n">
        <v>1000000</v>
      </c>
      <c r="D9" s="4" t="inlineStr">
        <is>
          <t>20%</t>
        </is>
      </c>
      <c r="E9" s="4" t="inlineStr">
        <is>
          <t>45%</t>
        </is>
      </c>
      <c r="F9" s="4" t="inlineStr">
        <is>
          <t>20%</t>
        </is>
      </c>
      <c r="G9" s="4" t="inlineStr">
        <is>
          <t>15%</t>
        </is>
      </c>
      <c r="H9" s="4">
        <f>D9+E9+F9+G9</f>
        <v/>
      </c>
      <c r="I9" s="4">
        <f>IF(H9=100%,"Valid","Cek Persentase")</f>
        <v/>
      </c>
      <c r="J9" s="4" t="n">
        <v>4</v>
      </c>
      <c r="K9" s="4" t="inlineStr">
        <is>
          <t>Pakai jika pekerjaan berulang dan lebih stabil</t>
        </is>
      </c>
    </row>
    <row r="10">
      <c r="A10" s="4" t="inlineStr">
        <is>
          <t>Klien Baru Trial Project</t>
        </is>
      </c>
      <c r="B10" s="4" t="inlineStr">
        <is>
          <t>Klien Baru</t>
        </is>
      </c>
      <c r="C10" s="5" t="n">
        <v>750000</v>
      </c>
      <c r="D10" s="4" t="inlineStr">
        <is>
          <t>30%</t>
        </is>
      </c>
      <c r="E10" s="4" t="inlineStr">
        <is>
          <t>30%</t>
        </is>
      </c>
      <c r="F10" s="4" t="inlineStr">
        <is>
          <t>25%</t>
        </is>
      </c>
      <c r="G10" s="4" t="inlineStr">
        <is>
          <t>15%</t>
        </is>
      </c>
      <c r="H10" s="4">
        <f>D10+E10+F10+G10</f>
        <v/>
      </c>
      <c r="I10" s="4">
        <f>IF(H10=100%,"Valid","Cek Persentase")</f>
        <v/>
      </c>
      <c r="J10" s="4" t="n">
        <v>5</v>
      </c>
      <c r="K10" s="4" t="inlineStr">
        <is>
          <t>Bisnis lebih besar untuk biaya akuisisi</t>
        </is>
      </c>
    </row>
    <row r="11">
      <c r="A11" s="4" t="inlineStr">
        <is>
          <t>Penjualan Template/Produk Digital</t>
        </is>
      </c>
      <c r="B11" s="4" t="inlineStr">
        <is>
          <t>Produk Digital</t>
        </is>
      </c>
      <c r="C11" s="5" t="n">
        <v>250000</v>
      </c>
      <c r="D11" s="4" t="inlineStr">
        <is>
          <t>10%</t>
        </is>
      </c>
      <c r="E11" s="4" t="inlineStr">
        <is>
          <t>45%</t>
        </is>
      </c>
      <c r="F11" s="4" t="inlineStr">
        <is>
          <t>20%</t>
        </is>
      </c>
      <c r="G11" s="4" t="inlineStr">
        <is>
          <t>25%</t>
        </is>
      </c>
      <c r="H11" s="4">
        <f>D11+E11+F11+G11</f>
        <v/>
      </c>
      <c r="I11" s="4">
        <f>IF(H11=100%,"Valid","Cek Persentase")</f>
        <v/>
      </c>
      <c r="J11" s="4" t="n">
        <v>6</v>
      </c>
      <c r="K11" s="4" t="inlineStr">
        <is>
          <t>Tabungan lebih besar karena margin biasanya tinggi</t>
        </is>
      </c>
    </row>
    <row r="12">
      <c r="A12" s="4" t="n"/>
      <c r="B12" s="4" t="n"/>
      <c r="C12" s="4" t="n"/>
      <c r="D12" s="4" t="n"/>
      <c r="E12" s="4" t="n"/>
      <c r="F12" s="4" t="n"/>
      <c r="G12" s="4" t="n"/>
      <c r="H12" s="4">
        <f>D12+E12+F12+G12</f>
        <v/>
      </c>
      <c r="I12" s="4">
        <f>IF(H12=100%,"Valid","Cek Persentase")</f>
        <v/>
      </c>
      <c r="J12" s="4" t="n"/>
      <c r="K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>
        <f>D13+E13+F13+G13</f>
        <v/>
      </c>
      <c r="I13" s="4">
        <f>IF(H13=100%,"Valid","Cek Persentase")</f>
        <v/>
      </c>
      <c r="J13" s="4" t="n"/>
      <c r="K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>
        <f>D14+E14+F14+G14</f>
        <v/>
      </c>
      <c r="I14" s="4">
        <f>IF(H14=100%,"Valid","Cek Persentase")</f>
        <v/>
      </c>
      <c r="J14" s="4" t="n"/>
      <c r="K14" s="4" t="n"/>
    </row>
    <row r="16">
      <c r="A16" s="6" t="inlineStr">
        <is>
          <t>Rata-rata Persen Bisnis</t>
        </is>
      </c>
      <c r="C16" s="7">
        <f>AVERAGE(D2:D7)</f>
        <v/>
      </c>
    </row>
    <row r="17">
      <c r="A17" s="6" t="inlineStr">
        <is>
          <t>Rata-rata Persen Pribadi</t>
        </is>
      </c>
      <c r="D17" s="7">
        <f>AVERAGE(E2:E7)</f>
        <v/>
      </c>
    </row>
    <row r="18">
      <c r="A18" s="6" t="inlineStr">
        <is>
          <t>Rata-rata Persen Pajak</t>
        </is>
      </c>
      <c r="E18" s="7">
        <f>AVERAGE(F2:F7)</f>
        <v/>
      </c>
    </row>
    <row r="19">
      <c r="A19" s="6" t="inlineStr">
        <is>
          <t>Rata-rata Persen Tabungan</t>
        </is>
      </c>
      <c r="F19" s="7">
        <f>AVERAGE(G2:G7)</f>
        <v/>
      </c>
    </row>
  </sheetData>
  <dataValidations count="1">
    <dataValidation sqref="B6:B19" showDropDown="0" showInputMessage="0" showErrorMessage="0" allowBlank="1" type="list">
      <formula1>"Retainer,Proyek Sekali,Klien Lama,Klien Baru,Marketplace,Afiliasi,Produk Digital,Lainnya"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33" customWidth="1" min="2" max="2"/>
    <col width="35" customWidth="1" min="3" max="3"/>
    <col width="27" customWidth="1" min="4" max="4"/>
    <col width="21" customWidth="1" min="5" max="5"/>
    <col width="22" customWidth="1" min="6" max="6"/>
    <col width="20" customWidth="1" min="7" max="7"/>
    <col width="23" customWidth="1" min="8" max="8"/>
    <col width="20" customWidth="1" min="9" max="9"/>
    <col width="25" customWidth="1" min="10" max="10"/>
    <col width="14" customWidth="1" min="11" max="11"/>
  </cols>
  <sheetData>
    <row r="1">
      <c r="A1" s="1" t="inlineStr">
        <is>
          <t>Fallback_Bulan_Sepi</t>
        </is>
      </c>
    </row>
    <row r="2">
      <c r="A2" t="inlineStr">
        <is>
          <t>Menentukan aturan cadangan saat pemasukan bulan berjalan lebih rendah dari target, agar pembagian uang tetap aman dan realistis.</t>
        </is>
      </c>
    </row>
    <row r="3">
      <c r="A3" s="2" t="inlineStr">
        <is>
          <t>Isi target pendapatan, pendapatan aktual, lalu pilih level fallback sesuai kondisi bulan berjalan. Persentase pada baris fallback harus tetap 100%. Gunakan kolom selisih untuk melihat seberapa jauh kondisi dari target. Pilih level yang sesuai lalu terapkan persentase pada semua pemasukan di bulan sepi.</t>
        </is>
      </c>
    </row>
    <row r="5">
      <c r="A5" s="3" t="inlineStr">
        <is>
          <t>Level Fallback</t>
        </is>
      </c>
      <c r="B5" s="3" t="inlineStr">
        <is>
          <t>Target Pendapatan Bulanan</t>
        </is>
      </c>
      <c r="C5" s="3" t="inlineStr">
        <is>
          <t>Pendapatan Aktual Bulan Ini</t>
        </is>
      </c>
      <c r="D5" s="3" t="inlineStr">
        <is>
          <t>Selisih dari Target</t>
        </is>
      </c>
      <c r="E5" s="3" t="inlineStr">
        <is>
          <t>Persen Bisnis</t>
        </is>
      </c>
      <c r="F5" s="3" t="inlineStr">
        <is>
          <t>Persen Pribadi</t>
        </is>
      </c>
      <c r="G5" s="3" t="inlineStr">
        <is>
          <t>Persen Pajak</t>
        </is>
      </c>
      <c r="H5" s="3" t="inlineStr">
        <is>
          <t>Persen Tabungan</t>
        </is>
      </c>
      <c r="I5" s="3" t="inlineStr">
        <is>
          <t>Total Persen</t>
        </is>
      </c>
      <c r="J5" s="3" t="inlineStr">
        <is>
          <t>Fokus Penghematan</t>
        </is>
      </c>
      <c r="K5" s="3" t="inlineStr">
        <is>
          <t>Status</t>
        </is>
      </c>
    </row>
    <row r="6">
      <c r="A6" s="4" t="inlineStr">
        <is>
          <t>Normal</t>
        </is>
      </c>
      <c r="B6" s="5" t="n">
        <v>12000000</v>
      </c>
      <c r="C6" s="5" t="n">
        <v>12500000</v>
      </c>
      <c r="D6" s="4">
        <f>C6-B6</f>
        <v/>
      </c>
      <c r="E6" s="4" t="inlineStr">
        <is>
          <t>20%</t>
        </is>
      </c>
      <c r="F6" s="4" t="inlineStr">
        <is>
          <t>45%</t>
        </is>
      </c>
      <c r="G6" s="4" t="inlineStr">
        <is>
          <t>20%</t>
        </is>
      </c>
      <c r="H6" s="4" t="inlineStr">
        <is>
          <t>15%</t>
        </is>
      </c>
      <c r="I6" s="4">
        <f>E6+F6+G6+H6</f>
        <v/>
      </c>
      <c r="J6" s="4" t="inlineStr">
        <is>
          <t>Tidak perlu penghematan khusus</t>
        </is>
      </c>
      <c r="K6" s="4">
        <f>IF(I6=100%,"Siap Dipakai","Cek Persentase")</f>
        <v/>
      </c>
    </row>
    <row r="7">
      <c r="A7" s="4" t="inlineStr">
        <is>
          <t>Waspada</t>
        </is>
      </c>
      <c r="B7" s="5" t="n">
        <v>12000000</v>
      </c>
      <c r="C7" s="5" t="n">
        <v>9500000</v>
      </c>
      <c r="D7" s="4">
        <f>C7-B7</f>
        <v/>
      </c>
      <c r="E7" s="4" t="inlineStr">
        <is>
          <t>15%</t>
        </is>
      </c>
      <c r="F7" s="4" t="inlineStr">
        <is>
          <t>50%</t>
        </is>
      </c>
      <c r="G7" s="4" t="inlineStr">
        <is>
          <t>20%</t>
        </is>
      </c>
      <c r="H7" s="4" t="inlineStr">
        <is>
          <t>15%</t>
        </is>
      </c>
      <c r="I7" s="4">
        <f>E7+F7+G7+H7</f>
        <v/>
      </c>
      <c r="J7" s="4" t="inlineStr">
        <is>
          <t>Tunda belanja alat non-prioritas</t>
        </is>
      </c>
      <c r="K7" s="4">
        <f>IF(I7=100%,"Siap Dipakai","Cek Persentase")</f>
        <v/>
      </c>
    </row>
    <row r="8">
      <c r="A8" s="4" t="inlineStr">
        <is>
          <t>Hemat</t>
        </is>
      </c>
      <c r="B8" s="5" t="n">
        <v>12000000</v>
      </c>
      <c r="C8" s="5" t="n">
        <v>7000000</v>
      </c>
      <c r="D8" s="4">
        <f>C8-B8</f>
        <v/>
      </c>
      <c r="E8" s="4" t="inlineStr">
        <is>
          <t>10%</t>
        </is>
      </c>
      <c r="F8" s="4" t="inlineStr">
        <is>
          <t>55%</t>
        </is>
      </c>
      <c r="G8" s="4" t="inlineStr">
        <is>
          <t>20%</t>
        </is>
      </c>
      <c r="H8" s="4" t="inlineStr">
        <is>
          <t>15%</t>
        </is>
      </c>
      <c r="I8" s="4">
        <f>E8+F8+G8+H8</f>
        <v/>
      </c>
      <c r="J8" s="4" t="inlineStr">
        <is>
          <t>Kurangi biaya operasional yang bisa ditunda</t>
        </is>
      </c>
      <c r="K8" s="4">
        <f>IF(I8=100%,"Siap Dipakai","Cek Persentase")</f>
        <v/>
      </c>
    </row>
    <row r="9">
      <c r="A9" s="4" t="inlineStr">
        <is>
          <t>Darurat</t>
        </is>
      </c>
      <c r="B9" s="5" t="n">
        <v>12000000</v>
      </c>
      <c r="C9" s="5" t="n">
        <v>4500000</v>
      </c>
      <c r="D9" s="4">
        <f>C9-B9</f>
        <v/>
      </c>
      <c r="E9" s="4" t="inlineStr">
        <is>
          <t>5%</t>
        </is>
      </c>
      <c r="F9" s="4" t="inlineStr">
        <is>
          <t>65%</t>
        </is>
      </c>
      <c r="G9" s="4" t="inlineStr">
        <is>
          <t>20%</t>
        </is>
      </c>
      <c r="H9" s="4" t="inlineStr">
        <is>
          <t>10%</t>
        </is>
      </c>
      <c r="I9" s="4">
        <f>E9+F9+G9+H9</f>
        <v/>
      </c>
      <c r="J9" s="4" t="inlineStr">
        <is>
          <t>Fokus kebutuhan pokok dan kewajiban pajak</t>
        </is>
      </c>
      <c r="K9" s="4">
        <f>IF(I9=100%,"Siap Dipakai","Cek Persentase")</f>
        <v/>
      </c>
    </row>
    <row r="10">
      <c r="A10" s="4" t="inlineStr">
        <is>
          <t>Waspada</t>
        </is>
      </c>
      <c r="B10" s="5" t="n">
        <v>8000000</v>
      </c>
      <c r="C10" s="5" t="n">
        <v>7600000</v>
      </c>
      <c r="D10" s="4">
        <f>C10-B10</f>
        <v/>
      </c>
      <c r="E10" s="4" t="inlineStr">
        <is>
          <t>15%</t>
        </is>
      </c>
      <c r="F10" s="4" t="inlineStr">
        <is>
          <t>50%</t>
        </is>
      </c>
      <c r="G10" s="4" t="inlineStr">
        <is>
          <t>20%</t>
        </is>
      </c>
      <c r="H10" s="4" t="inlineStr">
        <is>
          <t>15%</t>
        </is>
      </c>
      <c r="I10" s="4">
        <f>E10+F10+G10+H10</f>
        <v/>
      </c>
      <c r="J10" s="4" t="inlineStr">
        <is>
          <t>Batasi langganan tools tambahan</t>
        </is>
      </c>
      <c r="K10" s="4">
        <f>IF(I10=100%,"Siap Dipakai","Cek Persentase")</f>
        <v/>
      </c>
    </row>
    <row r="11">
      <c r="A11" s="4" t="inlineStr">
        <is>
          <t>Hemat</t>
        </is>
      </c>
      <c r="B11" s="5" t="n">
        <v>10000000</v>
      </c>
      <c r="C11" s="5" t="n">
        <v>6200000</v>
      </c>
      <c r="D11" s="4">
        <f>C11-B11</f>
        <v/>
      </c>
      <c r="E11" s="4" t="inlineStr">
        <is>
          <t>10%</t>
        </is>
      </c>
      <c r="F11" s="4" t="inlineStr">
        <is>
          <t>55%</t>
        </is>
      </c>
      <c r="G11" s="4" t="inlineStr">
        <is>
          <t>20%</t>
        </is>
      </c>
      <c r="H11" s="4" t="inlineStr">
        <is>
          <t>15%</t>
        </is>
      </c>
      <c r="I11" s="4">
        <f>E11+F11+G11+H11</f>
        <v/>
      </c>
      <c r="J11" s="4" t="inlineStr">
        <is>
          <t>Tunda upgrade perangkat dan iklan</t>
        </is>
      </c>
      <c r="K11" s="4">
        <f>IF(I11=100%,"Siap Dipakai","Cek Persentase")</f>
        <v/>
      </c>
    </row>
    <row r="12">
      <c r="A12" s="4" t="n"/>
      <c r="B12" s="4" t="n"/>
      <c r="C12" s="4" t="n"/>
      <c r="D12" s="4">
        <f>C12-B12</f>
        <v/>
      </c>
      <c r="E12" s="4" t="n"/>
      <c r="F12" s="4" t="n"/>
      <c r="G12" s="4" t="n"/>
      <c r="H12" s="4" t="n"/>
      <c r="I12" s="4">
        <f>E12+F12+G12+H12</f>
        <v/>
      </c>
      <c r="J12" s="4" t="n"/>
      <c r="K12" s="4">
        <f>IF(I12=100%,"Siap Dipakai","Cek Persentase")</f>
        <v/>
      </c>
    </row>
    <row r="13">
      <c r="A13" s="4" t="n"/>
      <c r="B13" s="4" t="n"/>
      <c r="C13" s="4" t="n"/>
      <c r="D13" s="4">
        <f>C13-B13</f>
        <v/>
      </c>
      <c r="E13" s="4" t="n"/>
      <c r="F13" s="4" t="n"/>
      <c r="G13" s="4" t="n"/>
      <c r="H13" s="4" t="n"/>
      <c r="I13" s="4">
        <f>E13+F13+G13+H13</f>
        <v/>
      </c>
      <c r="J13" s="4" t="n"/>
      <c r="K13" s="4">
        <f>IF(I13=100%,"Siap Dipakai","Cek Persentase")</f>
        <v/>
      </c>
    </row>
    <row r="14">
      <c r="A14" s="4" t="n"/>
      <c r="B14" s="4" t="n"/>
      <c r="C14" s="4" t="n"/>
      <c r="D14" s="4">
        <f>C14-B14</f>
        <v/>
      </c>
      <c r="E14" s="4" t="n"/>
      <c r="F14" s="4" t="n"/>
      <c r="G14" s="4" t="n"/>
      <c r="H14" s="4" t="n"/>
      <c r="I14" s="4">
        <f>E14+F14+G14+H14</f>
        <v/>
      </c>
      <c r="J14" s="4" t="n"/>
      <c r="K14" s="4">
        <f>IF(I14=100%,"Siap Dipakai","Cek Persentase")</f>
        <v/>
      </c>
    </row>
    <row r="16">
      <c r="A16" s="6" t="inlineStr">
        <is>
          <t>Total Pendapatan Aktual Contoh</t>
        </is>
      </c>
      <c r="B16" s="7">
        <f>SUM(C2:C7)</f>
        <v/>
      </c>
    </row>
    <row r="17">
      <c r="A17" s="6" t="inlineStr">
        <is>
          <t>Rata-rata Persen Pribadi</t>
        </is>
      </c>
      <c r="E17" s="7">
        <f>AVERAGE(F2:F7)</f>
        <v/>
      </c>
    </row>
  </sheetData>
  <dataValidations count="1">
    <dataValidation sqref="A6:A19" showDropDown="0" showInputMessage="0" showErrorMessage="0" allowBlank="1" type="list">
      <formula1>"Normal,Waspada,Hemat,Darurat"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2026-09-09T03:20:10Z</dcterms:created>
  <dcterms:modified xsi:type="dcterms:W3CDTF">2026-09-09T03:20:10Z</dcterms:modified>
</cp:coreProperties>
</file>