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 &amp; Kalkulasi" sheetId="1" state="visible" r:id="rId1"/>
    <sheet name="Simulasi Pembayaran Masuk"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6E6B"/>
      <sz val="14"/>
    </font>
    <font>
      <i val="1"/>
      <color rgb="005B6472"/>
    </font>
    <font>
      <b val="1"/>
      <color rgb="00FFFFFF"/>
      <sz val="11"/>
    </font>
    <font>
      <b val="1"/>
    </font>
    <font>
      <b val="1"/>
      <color rgb="00C07A2B"/>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3" fontId="0" fillId="0" borderId="1"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5" topLeftCell="A6" activePane="bottomLeft" state="frozen"/>
      <selection pane="bottomLeft" activeCell="A1" sqref="A1"/>
    </sheetView>
  </sheetViews>
  <sheetFormatPr baseColWidth="8" defaultRowHeight="15"/>
  <cols>
    <col width="16" customWidth="1" min="1" max="1"/>
    <col width="14" customWidth="1" min="2" max="2"/>
    <col width="24" customWidth="1" min="3" max="3"/>
  </cols>
  <sheetData>
    <row r="1">
      <c r="A1" s="1" t="inlineStr">
        <is>
          <t>Input &amp; Kalkulasi</t>
        </is>
      </c>
    </row>
    <row r="2">
      <c r="A2" t="inlineStr">
        <is>
          <t>Menghitung persentase alokasi aman untuk pajak, operasional, tabungan, dan kebutuhan pribadi berdasarkan rata-rata pemasukan bulanan serta biaya minimum bulanan.</t>
        </is>
      </c>
    </row>
    <row r="3">
      <c r="A3" s="2" t="inlineStr">
        <is>
          <t>Isi hanya kolom Nilai pada setiap baris. Untuk baris persentase pajak, isi dalam format persen. Baris hasil akan menghitung nominal dan persentase aman secara otomatis. Gunakan hasil persentase rekomendasi sebagai acuan pembagian setiap pembayaran masuk.</t>
        </is>
      </c>
    </row>
    <row r="5">
      <c r="A5" s="3" t="inlineStr">
        <is>
          <t>Komponen</t>
        </is>
      </c>
      <c r="B5" s="3" t="inlineStr">
        <is>
          <t>Nilai</t>
        </is>
      </c>
      <c r="C5" s="3" t="inlineStr">
        <is>
          <t>Keterangan/Hasil</t>
        </is>
      </c>
    </row>
    <row r="6">
      <c r="A6" s="4" t="inlineStr">
        <is>
          <t>Rata-rata pemasukan bulanan</t>
        </is>
      </c>
      <c r="B6" s="5" t="n">
        <v>15000000</v>
      </c>
      <c r="C6" s="4">
        <f>IF(A6="Rata-rata pemasukan bulanan",B6,IF(A6="Biaya minimum pribadi bulanan",B6,IF(A6="Biaya operasional bisnis bulanan",B6,IF(A6="Target tabungan bulanan",B6,IF(A6="Persentase pajak",B6,IF(A6="Nominal pajak bulanan",B2*B6,IF(A6="Sisa setelah pajak",B2-C7,IF(A6="Total kebutuhan tetap",B3+B4+B5,IF(A6="Sisa/Buffer",C8-C9,IF(A6="% Pajak Aman",C7/B2,IF(A6="% Operasional Aman",B4/B2,IF(A6="% Tabungan Aman",B5/B2,IF(A6="% Pribadi Aman",B3/B2,IF(A6="% Buffer",C10/B2,IF(A6="Total % Alokasi",C11+C12+C13+C14+C15,"")))))))))))))))</f>
        <v/>
      </c>
    </row>
    <row r="7">
      <c r="A7" s="4" t="inlineStr">
        <is>
          <t>Biaya minimum pribadi bulanan</t>
        </is>
      </c>
      <c r="B7" s="5" t="n">
        <v>6000000</v>
      </c>
      <c r="C7" s="4">
        <f>IF(A7="Rata-rata pemasukan bulanan",B7,IF(A7="Biaya minimum pribadi bulanan",B7,IF(A7="Biaya operasional bisnis bulanan",B7,IF(A7="Target tabungan bulanan",B7,IF(A7="Persentase pajak",B7,IF(A7="Nominal pajak bulanan",B2*B6,IF(A7="Sisa setelah pajak",B2-C7,IF(A7="Total kebutuhan tetap",B3+B4+B5,IF(A7="Sisa/Buffer",C8-C9,IF(A7="% Pajak Aman",C7/B2,IF(A7="% Operasional Aman",B4/B2,IF(A7="% Tabungan Aman",B5/B2,IF(A7="% Pribadi Aman",B3/B2,IF(A7="% Buffer",C10/B2,IF(A7="Total % Alokasi",C11+C12+C13+C14+C15,"")))))))))))))))</f>
        <v/>
      </c>
    </row>
    <row r="8">
      <c r="A8" s="4" t="inlineStr">
        <is>
          <t>Biaya operasional bisnis bulanan</t>
        </is>
      </c>
      <c r="B8" s="5" t="n">
        <v>2500000</v>
      </c>
      <c r="C8" s="4">
        <f>IF(A8="Rata-rata pemasukan bulanan",B8,IF(A8="Biaya minimum pribadi bulanan",B8,IF(A8="Biaya operasional bisnis bulanan",B8,IF(A8="Target tabungan bulanan",B8,IF(A8="Persentase pajak",B8,IF(A8="Nominal pajak bulanan",B2*B6,IF(A8="Sisa setelah pajak",B2-C7,IF(A8="Total kebutuhan tetap",B3+B4+B5,IF(A8="Sisa/Buffer",C8-C9,IF(A8="% Pajak Aman",C7/B2,IF(A8="% Operasional Aman",B4/B2,IF(A8="% Tabungan Aman",B5/B2,IF(A8="% Pribadi Aman",B3/B2,IF(A8="% Buffer",C10/B2,IF(A8="Total % Alokasi",C11+C12+C13+C14+C15,"")))))))))))))))</f>
        <v/>
      </c>
    </row>
    <row r="9">
      <c r="A9" s="4" t="inlineStr">
        <is>
          <t>Target tabungan bulanan</t>
        </is>
      </c>
      <c r="B9" s="5" t="n">
        <v>2000000</v>
      </c>
      <c r="C9" s="4">
        <f>IF(A9="Rata-rata pemasukan bulanan",B9,IF(A9="Biaya minimum pribadi bulanan",B9,IF(A9="Biaya operasional bisnis bulanan",B9,IF(A9="Target tabungan bulanan",B9,IF(A9="Persentase pajak",B9,IF(A9="Nominal pajak bulanan",B2*B6,IF(A9="Sisa setelah pajak",B2-C7,IF(A9="Total kebutuhan tetap",B3+B4+B5,IF(A9="Sisa/Buffer",C8-C9,IF(A9="% Pajak Aman",C7/B2,IF(A9="% Operasional Aman",B4/B2,IF(A9="% Tabungan Aman",B5/B2,IF(A9="% Pribadi Aman",B3/B2,IF(A9="% Buffer",C10/B2,IF(A9="Total % Alokasi",C11+C12+C13+C14+C15,"")))))))))))))))</f>
        <v/>
      </c>
    </row>
    <row r="10">
      <c r="A10" s="4" t="inlineStr">
        <is>
          <t>Persentase pajak</t>
        </is>
      </c>
      <c r="B10" s="5" t="n">
        <v>0.1</v>
      </c>
      <c r="C10" s="4">
        <f>IF(A10="Rata-rata pemasukan bulanan",B10,IF(A10="Biaya minimum pribadi bulanan",B10,IF(A10="Biaya operasional bisnis bulanan",B10,IF(A10="Target tabungan bulanan",B10,IF(A10="Persentase pajak",B10,IF(A10="Nominal pajak bulanan",B2*B6,IF(A10="Sisa setelah pajak",B2-C7,IF(A10="Total kebutuhan tetap",B3+B4+B5,IF(A10="Sisa/Buffer",C8-C9,IF(A10="% Pajak Aman",C7/B2,IF(A10="% Operasional Aman",B4/B2,IF(A10="% Tabungan Aman",B5/B2,IF(A10="% Pribadi Aman",B3/B2,IF(A10="% Buffer",C10/B2,IF(A10="Total % Alokasi",C11+C12+C13+C14+C15,"")))))))))))))))</f>
        <v/>
      </c>
    </row>
    <row r="11">
      <c r="A11" s="4" t="inlineStr">
        <is>
          <t>Nominal pajak bulanan</t>
        </is>
      </c>
      <c r="B11" s="4" t="inlineStr"/>
      <c r="C11" s="4">
        <f>IF(A11="Rata-rata pemasukan bulanan",B11,IF(A11="Biaya minimum pribadi bulanan",B11,IF(A11="Biaya operasional bisnis bulanan",B11,IF(A11="Target tabungan bulanan",B11,IF(A11="Persentase pajak",B11,IF(A11="Nominal pajak bulanan",B2*B6,IF(A11="Sisa setelah pajak",B2-C7,IF(A11="Total kebutuhan tetap",B3+B4+B5,IF(A11="Sisa/Buffer",C8-C9,IF(A11="% Pajak Aman",C7/B2,IF(A11="% Operasional Aman",B4/B2,IF(A11="% Tabungan Aman",B5/B2,IF(A11="% Pribadi Aman",B3/B2,IF(A11="% Buffer",C10/B2,IF(A11="Total % Alokasi",C11+C12+C13+C14+C15,"")))))))))))))))</f>
        <v/>
      </c>
    </row>
    <row r="12">
      <c r="A12" s="4" t="inlineStr">
        <is>
          <t>Sisa setelah pajak</t>
        </is>
      </c>
      <c r="B12" s="4" t="inlineStr"/>
      <c r="C12" s="4">
        <f>IF(A12="Rata-rata pemasukan bulanan",B12,IF(A12="Biaya minimum pribadi bulanan",B12,IF(A12="Biaya operasional bisnis bulanan",B12,IF(A12="Target tabungan bulanan",B12,IF(A12="Persentase pajak",B12,IF(A12="Nominal pajak bulanan",B2*B6,IF(A12="Sisa setelah pajak",B2-C7,IF(A12="Total kebutuhan tetap",B3+B4+B5,IF(A12="Sisa/Buffer",C8-C9,IF(A12="% Pajak Aman",C7/B2,IF(A12="% Operasional Aman",B4/B2,IF(A12="% Tabungan Aman",B5/B2,IF(A12="% Pribadi Aman",B3/B2,IF(A12="% Buffer",C10/B2,IF(A12="Total % Alokasi",C11+C12+C13+C14+C15,"")))))))))))))))</f>
        <v/>
      </c>
    </row>
    <row r="13">
      <c r="A13" s="4" t="inlineStr">
        <is>
          <t>Total kebutuhan tetap</t>
        </is>
      </c>
      <c r="B13" s="4" t="inlineStr"/>
      <c r="C13" s="4">
        <f>IF(A13="Rata-rata pemasukan bulanan",B13,IF(A13="Biaya minimum pribadi bulanan",B13,IF(A13="Biaya operasional bisnis bulanan",B13,IF(A13="Target tabungan bulanan",B13,IF(A13="Persentase pajak",B13,IF(A13="Nominal pajak bulanan",B2*B6,IF(A13="Sisa setelah pajak",B2-C7,IF(A13="Total kebutuhan tetap",B3+B4+B5,IF(A13="Sisa/Buffer",C8-C9,IF(A13="% Pajak Aman",C7/B2,IF(A13="% Operasional Aman",B4/B2,IF(A13="% Tabungan Aman",B5/B2,IF(A13="% Pribadi Aman",B3/B2,IF(A13="% Buffer",C10/B2,IF(A13="Total % Alokasi",C11+C12+C13+C14+C15,"")))))))))))))))</f>
        <v/>
      </c>
    </row>
    <row r="14">
      <c r="A14" s="4" t="inlineStr">
        <is>
          <t>Sisa/Buffer</t>
        </is>
      </c>
      <c r="B14" s="4" t="inlineStr"/>
      <c r="C14" s="4">
        <f>IF(A14="Rata-rata pemasukan bulanan",B14,IF(A14="Biaya minimum pribadi bulanan",B14,IF(A14="Biaya operasional bisnis bulanan",B14,IF(A14="Target tabungan bulanan",B14,IF(A14="Persentase pajak",B14,IF(A14="Nominal pajak bulanan",B2*B6,IF(A14="Sisa setelah pajak",B2-C7,IF(A14="Total kebutuhan tetap",B3+B4+B5,IF(A14="Sisa/Buffer",C8-C9,IF(A14="% Pajak Aman",C7/B2,IF(A14="% Operasional Aman",B4/B2,IF(A14="% Tabungan Aman",B5/B2,IF(A14="% Pribadi Aman",B3/B2,IF(A14="% Buffer",C10/B2,IF(A14="Total % Alokasi",C11+C12+C13+C14+C15,"")))))))))))))))</f>
        <v/>
      </c>
    </row>
    <row r="15">
      <c r="A15" s="4" t="inlineStr">
        <is>
          <t>% Pajak Aman</t>
        </is>
      </c>
      <c r="B15" s="4" t="inlineStr"/>
      <c r="C15" s="4">
        <f>IF(A15="Rata-rata pemasukan bulanan",B15,IF(A15="Biaya minimum pribadi bulanan",B15,IF(A15="Biaya operasional bisnis bulanan",B15,IF(A15="Target tabungan bulanan",B15,IF(A15="Persentase pajak",B15,IF(A15="Nominal pajak bulanan",B2*B6,IF(A15="Sisa setelah pajak",B2-C7,IF(A15="Total kebutuhan tetap",B3+B4+B5,IF(A15="Sisa/Buffer",C8-C9,IF(A15="% Pajak Aman",C7/B2,IF(A15="% Operasional Aman",B4/B2,IF(A15="% Tabungan Aman",B5/B2,IF(A15="% Pribadi Aman",B3/B2,IF(A15="% Buffer",C10/B2,IF(A15="Total % Alokasi",C11+C12+C13+C14+C15,"")))))))))))))))</f>
        <v/>
      </c>
    </row>
    <row r="16">
      <c r="A16" s="4" t="inlineStr">
        <is>
          <t>% Operasional Aman</t>
        </is>
      </c>
      <c r="B16" s="4" t="inlineStr"/>
      <c r="C16" s="4">
        <f>IF(A16="Rata-rata pemasukan bulanan",B16,IF(A16="Biaya minimum pribadi bulanan",B16,IF(A16="Biaya operasional bisnis bulanan",B16,IF(A16="Target tabungan bulanan",B16,IF(A16="Persentase pajak",B16,IF(A16="Nominal pajak bulanan",B2*B6,IF(A16="Sisa setelah pajak",B2-C7,IF(A16="Total kebutuhan tetap",B3+B4+B5,IF(A16="Sisa/Buffer",C8-C9,IF(A16="% Pajak Aman",C7/B2,IF(A16="% Operasional Aman",B4/B2,IF(A16="% Tabungan Aman",B5/B2,IF(A16="% Pribadi Aman",B3/B2,IF(A16="% Buffer",C10/B2,IF(A16="Total % Alokasi",C11+C12+C13+C14+C15,"")))))))))))))))</f>
        <v/>
      </c>
    </row>
    <row r="17">
      <c r="A17" s="4" t="inlineStr">
        <is>
          <t>% Tabungan Aman</t>
        </is>
      </c>
      <c r="B17" s="4" t="inlineStr"/>
      <c r="C17" s="4">
        <f>IF(A17="Rata-rata pemasukan bulanan",B17,IF(A17="Biaya minimum pribadi bulanan",B17,IF(A17="Biaya operasional bisnis bulanan",B17,IF(A17="Target tabungan bulanan",B17,IF(A17="Persentase pajak",B17,IF(A17="Nominal pajak bulanan",B2*B6,IF(A17="Sisa setelah pajak",B2-C7,IF(A17="Total kebutuhan tetap",B3+B4+B5,IF(A17="Sisa/Buffer",C8-C9,IF(A17="% Pajak Aman",C7/B2,IF(A17="% Operasional Aman",B4/B2,IF(A17="% Tabungan Aman",B5/B2,IF(A17="% Pribadi Aman",B3/B2,IF(A17="% Buffer",C10/B2,IF(A17="Total % Alokasi",C11+C12+C13+C14+C15,"")))))))))))))))</f>
        <v/>
      </c>
    </row>
    <row r="18">
      <c r="A18" s="4" t="inlineStr">
        <is>
          <t>% Pribadi Aman</t>
        </is>
      </c>
      <c r="B18" s="4" t="inlineStr"/>
      <c r="C18" s="4">
        <f>IF(A18="Rata-rata pemasukan bulanan",B18,IF(A18="Biaya minimum pribadi bulanan",B18,IF(A18="Biaya operasional bisnis bulanan",B18,IF(A18="Target tabungan bulanan",B18,IF(A18="Persentase pajak",B18,IF(A18="Nominal pajak bulanan",B2*B6,IF(A18="Sisa setelah pajak",B2-C7,IF(A18="Total kebutuhan tetap",B3+B4+B5,IF(A18="Sisa/Buffer",C8-C9,IF(A18="% Pajak Aman",C7/B2,IF(A18="% Operasional Aman",B4/B2,IF(A18="% Tabungan Aman",B5/B2,IF(A18="% Pribadi Aman",B3/B2,IF(A18="% Buffer",C10/B2,IF(A18="Total % Alokasi",C11+C12+C13+C14+C15,"")))))))))))))))</f>
        <v/>
      </c>
    </row>
    <row r="19">
      <c r="A19" s="4" t="inlineStr">
        <is>
          <t>% Buffer</t>
        </is>
      </c>
      <c r="B19" s="4" t="inlineStr"/>
      <c r="C19" s="4">
        <f>IF(A19="Rata-rata pemasukan bulanan",B19,IF(A19="Biaya minimum pribadi bulanan",B19,IF(A19="Biaya operasional bisnis bulanan",B19,IF(A19="Target tabungan bulanan",B19,IF(A19="Persentase pajak",B19,IF(A19="Nominal pajak bulanan",B2*B6,IF(A19="Sisa setelah pajak",B2-C7,IF(A19="Total kebutuhan tetap",B3+B4+B5,IF(A19="Sisa/Buffer",C8-C9,IF(A19="% Pajak Aman",C7/B2,IF(A19="% Operasional Aman",B4/B2,IF(A19="% Tabungan Aman",B5/B2,IF(A19="% Pribadi Aman",B3/B2,IF(A19="% Buffer",C10/B2,IF(A19="Total % Alokasi",C11+C12+C13+C14+C15,"")))))))))))))))</f>
        <v/>
      </c>
    </row>
    <row r="20">
      <c r="A20" s="4" t="inlineStr">
        <is>
          <t>Total % Alokasi</t>
        </is>
      </c>
      <c r="B20" s="4" t="inlineStr"/>
      <c r="C20" s="4">
        <f>IF(A20="Rata-rata pemasukan bulanan",B20,IF(A20="Biaya minimum pribadi bulanan",B20,IF(A20="Biaya operasional bisnis bulanan",B20,IF(A20="Target tabungan bulanan",B20,IF(A20="Persentase pajak",B20,IF(A20="Nominal pajak bulanan",B2*B6,IF(A20="Sisa setelah pajak",B2-C7,IF(A20="Total kebutuhan tetap",B3+B4+B5,IF(A20="Sisa/Buffer",C8-C9,IF(A20="% Pajak Aman",C7/B2,IF(A20="% Operasional Aman",B4/B2,IF(A20="% Tabungan Aman",B5/B2,IF(A20="% Pribadi Aman",B3/B2,IF(A20="% Buffer",C10/B2,IF(A20="Total % Alokasi",C11+C12+C13+C14+C15,"")))))))))))))))</f>
        <v/>
      </c>
    </row>
    <row r="21">
      <c r="A21" s="4" t="n"/>
      <c r="B21" s="4" t="n"/>
      <c r="C21" s="4">
        <f>IF(A21="Rata-rata pemasukan bulanan",B21,IF(A21="Biaya minimum pribadi bulanan",B21,IF(A21="Biaya operasional bisnis bulanan",B21,IF(A21="Target tabungan bulanan",B21,IF(A21="Persentase pajak",B21,IF(A21="Nominal pajak bulanan",B2*B6,IF(A21="Sisa setelah pajak",B2-C7,IF(A21="Total kebutuhan tetap",B3+B4+B5,IF(A21="Sisa/Buffer",C8-C9,IF(A21="% Pajak Aman",C7/B2,IF(A21="% Operasional Aman",B4/B2,IF(A21="% Tabungan Aman",B5/B2,IF(A21="% Pribadi Aman",B3/B2,IF(A21="% Buffer",C10/B2,IF(A21="Total % Alokasi",C11+C12+C13+C14+C15,"")))))))))))))))</f>
        <v/>
      </c>
    </row>
    <row r="22">
      <c r="A22" s="4" t="n"/>
      <c r="B22" s="4" t="n"/>
      <c r="C22" s="4">
        <f>IF(A22="Rata-rata pemasukan bulanan",B22,IF(A22="Biaya minimum pribadi bulanan",B22,IF(A22="Biaya operasional bisnis bulanan",B22,IF(A22="Target tabungan bulanan",B22,IF(A22="Persentase pajak",B22,IF(A22="Nominal pajak bulanan",B2*B6,IF(A22="Sisa setelah pajak",B2-C7,IF(A22="Total kebutuhan tetap",B3+B4+B5,IF(A22="Sisa/Buffer",C8-C9,IF(A22="% Pajak Aman",C7/B2,IF(A22="% Operasional Aman",B4/B2,IF(A22="% Tabungan Aman",B5/B2,IF(A22="% Pribadi Aman",B3/B2,IF(A22="% Buffer",C10/B2,IF(A22="Total % Alokasi",C11+C12+C13+C14+C15,"")))))))))))))))</f>
        <v/>
      </c>
    </row>
    <row r="23">
      <c r="A23" s="4" t="n"/>
      <c r="B23" s="4" t="n"/>
      <c r="C23" s="4">
        <f>IF(A23="Rata-rata pemasukan bulanan",B23,IF(A23="Biaya minimum pribadi bulanan",B23,IF(A23="Biaya operasional bisnis bulanan",B23,IF(A23="Target tabungan bulanan",B23,IF(A23="Persentase pajak",B23,IF(A23="Nominal pajak bulanan",B2*B6,IF(A23="Sisa setelah pajak",B2-C7,IF(A23="Total kebutuhan tetap",B3+B4+B5,IF(A23="Sisa/Buffer",C8-C9,IF(A23="% Pajak Aman",C7/B2,IF(A23="% Operasional Aman",B4/B2,IF(A23="% Tabungan Aman",B5/B2,IF(A23="% Pribadi Aman",B3/B2,IF(A23="% Buffer",C10/B2,IF(A23="Total % Alokasi",C11+C12+C13+C14+C15,"")))))))))))))))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pane ySplit="5" topLeftCell="A6" activePane="bottomLeft" state="frozen"/>
      <selection pane="bottomLeft" activeCell="A1" sqref="A1"/>
    </sheetView>
  </sheetViews>
  <sheetFormatPr baseColWidth="8" defaultRowHeight="15"/>
  <cols>
    <col width="15" customWidth="1" min="1" max="1"/>
    <col width="25" customWidth="1" min="2" max="2"/>
    <col width="21" customWidth="1" min="3" max="3"/>
    <col width="15" customWidth="1" min="4" max="4"/>
    <col width="21" customWidth="1" min="5" max="5"/>
    <col width="18" customWidth="1" min="6" max="6"/>
    <col width="17" customWidth="1" min="7" max="7"/>
    <col width="14" customWidth="1" min="8" max="8"/>
    <col width="19" customWidth="1" min="9" max="9"/>
    <col width="16" customWidth="1" min="10" max="10"/>
    <col width="15" customWidth="1" min="11" max="11"/>
    <col width="14" customWidth="1" min="12" max="12"/>
  </cols>
  <sheetData>
    <row r="1">
      <c r="A1" s="1" t="inlineStr">
        <is>
          <t>Simulasi Pembayaran Masuk</t>
        </is>
      </c>
    </row>
    <row r="2">
      <c r="A2" t="inlineStr">
        <is>
          <t>Menerapkan persentase aman ke setiap pembayaran masuk agar nominal yang dipindahkan ke tiap kantong langsung terlihat.</t>
        </is>
      </c>
    </row>
    <row r="3">
      <c r="A3" s="2" t="inlineStr">
        <is>
          <t>Isi tanggal, sumber pembayaran, dan nominal masuk. Kolom persentase akan otomatis mengambil hasil dari sheet Input &amp; Kalkulasi. Nominal alokasi per kantong akan terhitung otomatis untuk setiap pembayaran.</t>
        </is>
      </c>
    </row>
    <row r="5">
      <c r="A5" s="3" t="inlineStr">
        <is>
          <t>Tanggal</t>
        </is>
      </c>
      <c r="B5" s="3" t="inlineStr">
        <is>
          <t>Sumber Pembayaran</t>
        </is>
      </c>
      <c r="C5" s="3" t="inlineStr">
        <is>
          <t>Nominal Masuk</t>
        </is>
      </c>
      <c r="D5" s="3" t="inlineStr">
        <is>
          <t>% Pajak</t>
        </is>
      </c>
      <c r="E5" s="3" t="inlineStr">
        <is>
          <t>% Operasional</t>
        </is>
      </c>
      <c r="F5" s="3" t="inlineStr">
        <is>
          <t>% Tabungan</t>
        </is>
      </c>
      <c r="G5" s="3" t="inlineStr">
        <is>
          <t>% Pribadi</t>
        </is>
      </c>
      <c r="H5" s="3" t="inlineStr">
        <is>
          <t>Pajak</t>
        </is>
      </c>
      <c r="I5" s="3" t="inlineStr">
        <is>
          <t>Operasional</t>
        </is>
      </c>
      <c r="J5" s="3" t="inlineStr">
        <is>
          <t>Tabungan</t>
        </is>
      </c>
      <c r="K5" s="3" t="inlineStr">
        <is>
          <t>Pribadi</t>
        </is>
      </c>
      <c r="L5" s="3" t="inlineStr">
        <is>
          <t>Buffer</t>
        </is>
      </c>
    </row>
    <row r="6">
      <c r="A6" s="4" t="inlineStr">
        <is>
          <t>2026-09-01</t>
        </is>
      </c>
      <c r="B6" s="4" t="inlineStr">
        <is>
          <t>Proyek Desain Logo</t>
        </is>
      </c>
      <c r="C6" s="5" t="n">
        <v>3500000</v>
      </c>
      <c r="D6" s="4">
        <f>'Input &amp; Kalkulasi'!C11</f>
        <v/>
      </c>
      <c r="E6" s="4">
        <f>'Input &amp; Kalkulasi'!C12</f>
        <v/>
      </c>
      <c r="F6" s="4">
        <f>'Input &amp; Kalkulasi'!C13</f>
        <v/>
      </c>
      <c r="G6" s="4">
        <f>'Input &amp; Kalkulasi'!C14</f>
        <v/>
      </c>
      <c r="H6" s="4">
        <f>C6*D6</f>
        <v/>
      </c>
      <c r="I6" s="4">
        <f>C6*E6</f>
        <v/>
      </c>
      <c r="J6" s="4">
        <f>C6*F6</f>
        <v/>
      </c>
      <c r="K6" s="4">
        <f>C6*G6</f>
        <v/>
      </c>
      <c r="L6" s="4">
        <f>C6-H6-I6-J6-K6</f>
        <v/>
      </c>
    </row>
    <row r="7">
      <c r="A7" s="4" t="inlineStr">
        <is>
          <t>2026-09-03</t>
        </is>
      </c>
      <c r="B7" s="4" t="inlineStr">
        <is>
          <t>Retainer Konten Bulanan</t>
        </is>
      </c>
      <c r="C7" s="5" t="n">
        <v>5000000</v>
      </c>
      <c r="D7" s="4">
        <f>'Input &amp; Kalkulasi'!C11</f>
        <v/>
      </c>
      <c r="E7" s="4">
        <f>'Input &amp; Kalkulasi'!C12</f>
        <v/>
      </c>
      <c r="F7" s="4">
        <f>'Input &amp; Kalkulasi'!C13</f>
        <v/>
      </c>
      <c r="G7" s="4">
        <f>'Input &amp; Kalkulasi'!C14</f>
        <v/>
      </c>
      <c r="H7" s="4">
        <f>C7*D7</f>
        <v/>
      </c>
      <c r="I7" s="4">
        <f>C7*E7</f>
        <v/>
      </c>
      <c r="J7" s="4">
        <f>C7*F7</f>
        <v/>
      </c>
      <c r="K7" s="4">
        <f>C7*G7</f>
        <v/>
      </c>
      <c r="L7" s="4">
        <f>C7-H7-I7-J7-K7</f>
        <v/>
      </c>
    </row>
    <row r="8">
      <c r="A8" s="4" t="inlineStr">
        <is>
          <t>2026-09-06</t>
        </is>
      </c>
      <c r="B8" s="4" t="inlineStr">
        <is>
          <t>Landing Page Klien A</t>
        </is>
      </c>
      <c r="C8" s="5" t="n">
        <v>2750000</v>
      </c>
      <c r="D8" s="4">
        <f>'Input &amp; Kalkulasi'!C11</f>
        <v/>
      </c>
      <c r="E8" s="4">
        <f>'Input &amp; Kalkulasi'!C12</f>
        <v/>
      </c>
      <c r="F8" s="4">
        <f>'Input &amp; Kalkulasi'!C13</f>
        <v/>
      </c>
      <c r="G8" s="4">
        <f>'Input &amp; Kalkulasi'!C14</f>
        <v/>
      </c>
      <c r="H8" s="4">
        <f>C8*D8</f>
        <v/>
      </c>
      <c r="I8" s="4">
        <f>C8*E8</f>
        <v/>
      </c>
      <c r="J8" s="4">
        <f>C8*F8</f>
        <v/>
      </c>
      <c r="K8" s="4">
        <f>C8*G8</f>
        <v/>
      </c>
      <c r="L8" s="4">
        <f>C8-H8-I8-J8-K8</f>
        <v/>
      </c>
    </row>
    <row r="9">
      <c r="A9" s="4" t="inlineStr">
        <is>
          <t>2026-09-10</t>
        </is>
      </c>
      <c r="B9" s="4" t="inlineStr">
        <is>
          <t>Revisi Tambahan</t>
        </is>
      </c>
      <c r="C9" s="5" t="n">
        <v>650000</v>
      </c>
      <c r="D9" s="4">
        <f>'Input &amp; Kalkulasi'!C11</f>
        <v/>
      </c>
      <c r="E9" s="4">
        <f>'Input &amp; Kalkulasi'!C12</f>
        <v/>
      </c>
      <c r="F9" s="4">
        <f>'Input &amp; Kalkulasi'!C13</f>
        <v/>
      </c>
      <c r="G9" s="4">
        <f>'Input &amp; Kalkulasi'!C14</f>
        <v/>
      </c>
      <c r="H9" s="4">
        <f>C9*D9</f>
        <v/>
      </c>
      <c r="I9" s="4">
        <f>C9*E9</f>
        <v/>
      </c>
      <c r="J9" s="4">
        <f>C9*F9</f>
        <v/>
      </c>
      <c r="K9" s="4">
        <f>C9*G9</f>
        <v/>
      </c>
      <c r="L9" s="4">
        <f>C9-H9-I9-J9-K9</f>
        <v/>
      </c>
    </row>
    <row r="10">
      <c r="A10" s="4" t="inlineStr">
        <is>
          <t>2026-09-12</t>
        </is>
      </c>
      <c r="B10" s="4" t="inlineStr">
        <is>
          <t>Konsultasi 2 Jam</t>
        </is>
      </c>
      <c r="C10" s="5" t="n">
        <v>1200000</v>
      </c>
      <c r="D10" s="4">
        <f>'Input &amp; Kalkulasi'!C11</f>
        <v/>
      </c>
      <c r="E10" s="4">
        <f>'Input &amp; Kalkulasi'!C12</f>
        <v/>
      </c>
      <c r="F10" s="4">
        <f>'Input &amp; Kalkulasi'!C13</f>
        <v/>
      </c>
      <c r="G10" s="4">
        <f>'Input &amp; Kalkulasi'!C14</f>
        <v/>
      </c>
      <c r="H10" s="4">
        <f>C10*D10</f>
        <v/>
      </c>
      <c r="I10" s="4">
        <f>C10*E10</f>
        <v/>
      </c>
      <c r="J10" s="4">
        <f>C10*F10</f>
        <v/>
      </c>
      <c r="K10" s="4">
        <f>C10*G10</f>
        <v/>
      </c>
      <c r="L10" s="4">
        <f>C10-H10-I10-J10-K10</f>
        <v/>
      </c>
    </row>
    <row r="11">
      <c r="A11" s="4" t="inlineStr">
        <is>
          <t>2026-09-15</t>
        </is>
      </c>
      <c r="B11" s="4" t="inlineStr">
        <is>
          <t>Proyek Copywriting</t>
        </is>
      </c>
      <c r="C11" s="5" t="n">
        <v>4100000</v>
      </c>
      <c r="D11" s="4">
        <f>'Input &amp; Kalkulasi'!C11</f>
        <v/>
      </c>
      <c r="E11" s="4">
        <f>'Input &amp; Kalkulasi'!C12</f>
        <v/>
      </c>
      <c r="F11" s="4">
        <f>'Input &amp; Kalkulasi'!C13</f>
        <v/>
      </c>
      <c r="G11" s="4">
        <f>'Input &amp; Kalkulasi'!C14</f>
        <v/>
      </c>
      <c r="H11" s="4">
        <f>C11*D11</f>
        <v/>
      </c>
      <c r="I11" s="4">
        <f>C11*E11</f>
        <v/>
      </c>
      <c r="J11" s="4">
        <f>C11*F11</f>
        <v/>
      </c>
      <c r="K11" s="4">
        <f>C11*G11</f>
        <v/>
      </c>
      <c r="L11" s="4">
        <f>C11-H11-I11-J11-K11</f>
        <v/>
      </c>
    </row>
    <row r="12">
      <c r="A12" s="4" t="inlineStr">
        <is>
          <t>2026-09-18</t>
        </is>
      </c>
      <c r="B12" s="4" t="inlineStr">
        <is>
          <t>Maintenance Website</t>
        </is>
      </c>
      <c r="C12" s="5" t="n">
        <v>1800000</v>
      </c>
      <c r="D12" s="4">
        <f>'Input &amp; Kalkulasi'!C11</f>
        <v/>
      </c>
      <c r="E12" s="4">
        <f>'Input &amp; Kalkulasi'!C12</f>
        <v/>
      </c>
      <c r="F12" s="4">
        <f>'Input &amp; Kalkulasi'!C13</f>
        <v/>
      </c>
      <c r="G12" s="4">
        <f>'Input &amp; Kalkulasi'!C14</f>
        <v/>
      </c>
      <c r="H12" s="4">
        <f>C12*D12</f>
        <v/>
      </c>
      <c r="I12" s="4">
        <f>C12*E12</f>
        <v/>
      </c>
      <c r="J12" s="4">
        <f>C12*F12</f>
        <v/>
      </c>
      <c r="K12" s="4">
        <f>C12*G12</f>
        <v/>
      </c>
      <c r="L12" s="4">
        <f>C12-H12-I12-J12-K12</f>
        <v/>
      </c>
    </row>
    <row r="13">
      <c r="A13" s="4" t="n"/>
      <c r="B13" s="4" t="n"/>
      <c r="C13" s="4" t="n"/>
      <c r="D13" s="4">
        <f>'Input &amp; Kalkulasi'!C11</f>
        <v/>
      </c>
      <c r="E13" s="4">
        <f>'Input &amp; Kalkulasi'!C12</f>
        <v/>
      </c>
      <c r="F13" s="4">
        <f>'Input &amp; Kalkulasi'!C13</f>
        <v/>
      </c>
      <c r="G13" s="4">
        <f>'Input &amp; Kalkulasi'!C14</f>
        <v/>
      </c>
      <c r="H13" s="4">
        <f>C13*D13</f>
        <v/>
      </c>
      <c r="I13" s="4">
        <f>C13*E13</f>
        <v/>
      </c>
      <c r="J13" s="4">
        <f>C13*F13</f>
        <v/>
      </c>
      <c r="K13" s="4">
        <f>C13*G13</f>
        <v/>
      </c>
      <c r="L13" s="4">
        <f>C13-H13-I13-J13-K13</f>
        <v/>
      </c>
    </row>
    <row r="14">
      <c r="A14" s="4" t="n"/>
      <c r="B14" s="4" t="n"/>
      <c r="C14" s="4" t="n"/>
      <c r="D14" s="4">
        <f>'Input &amp; Kalkulasi'!C11</f>
        <v/>
      </c>
      <c r="E14" s="4">
        <f>'Input &amp; Kalkulasi'!C12</f>
        <v/>
      </c>
      <c r="F14" s="4">
        <f>'Input &amp; Kalkulasi'!C13</f>
        <v/>
      </c>
      <c r="G14" s="4">
        <f>'Input &amp; Kalkulasi'!C14</f>
        <v/>
      </c>
      <c r="H14" s="4">
        <f>C14*D14</f>
        <v/>
      </c>
      <c r="I14" s="4">
        <f>C14*E14</f>
        <v/>
      </c>
      <c r="J14" s="4">
        <f>C14*F14</f>
        <v/>
      </c>
      <c r="K14" s="4">
        <f>C14*G14</f>
        <v/>
      </c>
      <c r="L14" s="4">
        <f>C14-H14-I14-J14-K14</f>
        <v/>
      </c>
    </row>
    <row r="15">
      <c r="A15" s="4" t="n"/>
      <c r="B15" s="4" t="n"/>
      <c r="C15" s="4" t="n"/>
      <c r="D15" s="4">
        <f>'Input &amp; Kalkulasi'!C11</f>
        <v/>
      </c>
      <c r="E15" s="4">
        <f>'Input &amp; Kalkulasi'!C12</f>
        <v/>
      </c>
      <c r="F15" s="4">
        <f>'Input &amp; Kalkulasi'!C13</f>
        <v/>
      </c>
      <c r="G15" s="4">
        <f>'Input &amp; Kalkulasi'!C14</f>
        <v/>
      </c>
      <c r="H15" s="4">
        <f>C15*D15</f>
        <v/>
      </c>
      <c r="I15" s="4">
        <f>C15*E15</f>
        <v/>
      </c>
      <c r="J15" s="4">
        <f>C15*F15</f>
        <v/>
      </c>
      <c r="K15" s="4">
        <f>C15*G15</f>
        <v/>
      </c>
      <c r="L15" s="4">
        <f>C15-H15-I15-J15-K15</f>
        <v/>
      </c>
    </row>
    <row r="17">
      <c r="A17" s="6" t="inlineStr">
        <is>
          <t>Total Nominal Masuk</t>
        </is>
      </c>
      <c r="B17" s="7">
        <f>SUM(C2:C8)</f>
        <v/>
      </c>
    </row>
    <row r="18">
      <c r="A18" s="6" t="inlineStr">
        <is>
          <t>Total Pajak</t>
        </is>
      </c>
      <c r="G18" s="7">
        <f>SUM(H2:H8)</f>
        <v/>
      </c>
    </row>
    <row r="19">
      <c r="A19" s="6" t="inlineStr">
        <is>
          <t>Total Operasional</t>
        </is>
      </c>
      <c r="H19" s="7">
        <f>SUM(I2:I8)</f>
        <v/>
      </c>
    </row>
    <row r="20">
      <c r="A20" s="6" t="inlineStr">
        <is>
          <t>Total Tabungan</t>
        </is>
      </c>
      <c r="I20" s="7">
        <f>SUM(J2:J8)</f>
        <v/>
      </c>
    </row>
    <row r="21">
      <c r="A21" s="6" t="inlineStr">
        <is>
          <t>Total Pribadi</t>
        </is>
      </c>
      <c r="J21" s="7">
        <f>SUM(K2:K8)</f>
        <v/>
      </c>
    </row>
    <row r="22">
      <c r="A22" s="6" t="inlineStr">
        <is>
          <t>Total Buffer</t>
        </is>
      </c>
      <c r="K22" s="7">
        <f>SUM(L2:L8)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2026-09-09T03:27:49Z</dcterms:created>
  <dcterms:modified xsi:type="dcterms:W3CDTF">2026-09-09T03:27:49Z</dcterms:modified>
</cp:coreProperties>
</file>