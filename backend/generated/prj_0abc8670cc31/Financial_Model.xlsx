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amp; Ringkasan" sheetId="1" state="visible" r:id="rId1"/>
    <sheet name="Aturan Kantong" sheetId="2" state="visible" r:id="rId2"/>
    <sheet name="Transaksi Masuk" sheetId="3" state="visible" r:id="rId3"/>
    <sheet name="Status Kantong"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9" fontId="0" fillId="0" borderId="1" pivotButton="0" quotePrefix="0" xfId="0"/>
    <xf numFmtId="3"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5" topLeftCell="A6" activePane="bottomLeft" state="frozen"/>
      <selection pane="bottomLeft" activeCell="A1" sqref="A1"/>
    </sheetView>
  </sheetViews>
  <sheetFormatPr baseColWidth="8" defaultRowHeight="15"/>
  <cols>
    <col width="22" customWidth="1" min="1" max="1"/>
    <col width="14" customWidth="1" min="2" max="2"/>
    <col width="15" customWidth="1" min="3" max="3"/>
  </cols>
  <sheetData>
    <row r="1">
      <c r="A1" s="1" t="inlineStr">
        <is>
          <t>Petunjuk &amp; Ringkasan</t>
        </is>
      </c>
    </row>
    <row r="2">
      <c r="A2" t="inlineStr">
        <is>
          <t>Memberi panduan penggunaan workbook dan menampilkan ringkasan KPI utama dari lembar lain agar kondisi keuangan langsung terlihat.</t>
        </is>
      </c>
    </row>
    <row r="3">
      <c r="A3" s="2" t="inlineStr">
        <is>
          <t>Isi dulu sheet Aturan Kantong dengan persentase target. Lalu catat semua pemasukan di sheet Transaksi Masuk. Setiap baris pemasukan akan otomatis dibagi ke kantong sesuai aturan aktif. Gunakan kolom top up untuk melihat kantong mana yang masih di bawah target. Ringkasan di sheet ini dipakai sebagai dashboard cepat bulanan.</t>
        </is>
      </c>
    </row>
    <row r="5">
      <c r="A5" s="3" t="inlineStr">
        <is>
          <t>Item Ringkasan</t>
        </is>
      </c>
      <c r="B5" s="3" t="inlineStr">
        <is>
          <t>Nilai</t>
        </is>
      </c>
      <c r="C5" s="3" t="inlineStr">
        <is>
          <t>Catatan</t>
        </is>
      </c>
    </row>
    <row r="6">
      <c r="A6" s="4" t="inlineStr">
        <is>
          <t>Total pemasukan tercatat</t>
        </is>
      </c>
      <c r="B6" s="4">
        <f>B6</f>
        <v/>
      </c>
      <c r="C6" s="4" t="inlineStr">
        <is>
          <t>Semua pemasukan kotor yang masuk</t>
        </is>
      </c>
    </row>
    <row r="7">
      <c r="A7" s="4" t="inlineStr">
        <is>
          <t>Total ke kantong pajak</t>
        </is>
      </c>
      <c r="B7" s="4">
        <f>B7</f>
        <v/>
      </c>
      <c r="C7" s="4" t="inlineStr">
        <is>
          <t>Dana yang seharusnya langsung diamankan</t>
        </is>
      </c>
    </row>
    <row r="8">
      <c r="A8" s="4" t="inlineStr">
        <is>
          <t>Total ke tabungan</t>
        </is>
      </c>
      <c r="B8" s="4">
        <f>B8</f>
        <v/>
      </c>
      <c r="C8" s="4" t="inlineStr">
        <is>
          <t>Akumulasi tabungan dari semua pemasukan</t>
        </is>
      </c>
    </row>
    <row r="9">
      <c r="A9" s="4" t="inlineStr">
        <is>
          <t>Total ke operasional</t>
        </is>
      </c>
      <c r="B9" s="4">
        <f>B9</f>
        <v/>
      </c>
      <c r="C9" s="4" t="inlineStr">
        <is>
          <t>Dana untuk tools, vendor, biaya kerja</t>
        </is>
      </c>
    </row>
    <row r="10">
      <c r="A10" s="4" t="inlineStr">
        <is>
          <t>Total ke pribadi</t>
        </is>
      </c>
      <c r="B10" s="4">
        <f>B10</f>
        <v/>
      </c>
      <c r="C10" s="4" t="inlineStr">
        <is>
          <t>Dana yang relatif aman dipakai</t>
        </is>
      </c>
    </row>
    <row r="11">
      <c r="A11" s="4" t="inlineStr">
        <is>
          <t>Sisa belum teralokasi</t>
        </is>
      </c>
      <c r="B11" s="4">
        <f>B11</f>
        <v/>
      </c>
      <c r="C11" s="4" t="inlineStr">
        <is>
          <t>Idealnya nol jika total persentase 100%</t>
        </is>
      </c>
    </row>
    <row r="12">
      <c r="A12" s="4" t="inlineStr">
        <is>
          <t>Rasio aman dipakai</t>
        </is>
      </c>
      <c r="B12" s="4">
        <f>B12</f>
        <v/>
      </c>
      <c r="C12" s="4" t="inlineStr">
        <is>
          <t>Porsi pemasukan yang masuk ke kantong pribadi</t>
        </is>
      </c>
    </row>
    <row r="13">
      <c r="A13" s="4" t="n"/>
      <c r="B13" s="4">
        <f>B13</f>
        <v/>
      </c>
      <c r="C13" s="4" t="n"/>
    </row>
    <row r="14">
      <c r="A14" s="4" t="n"/>
      <c r="B14" s="4">
        <f>B14</f>
        <v/>
      </c>
      <c r="C14" s="4" t="n"/>
    </row>
    <row r="15">
      <c r="A15" s="4" t="n"/>
      <c r="B15" s="4">
        <f>B15</f>
        <v/>
      </c>
      <c r="C1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19" customWidth="1" min="1" max="1"/>
    <col width="24" customWidth="1" min="2" max="2"/>
    <col width="15" customWidth="1" min="3" max="3"/>
    <col width="18" customWidth="1" min="4" max="4"/>
    <col width="21" customWidth="1" min="5" max="5"/>
    <col width="17" customWidth="1" min="6" max="6"/>
    <col width="22" customWidth="1" min="7" max="7"/>
    <col width="15" customWidth="1" min="8" max="8"/>
    <col width="21" customWidth="1" min="9" max="9"/>
    <col width="28" customWidth="1" min="10" max="10"/>
    <col width="31" customWidth="1" min="11" max="11"/>
    <col width="34" customWidth="1" min="12" max="12"/>
    <col width="35" customWidth="1" min="13" max="13"/>
  </cols>
  <sheetData>
    <row r="1">
      <c r="A1" s="1" t="inlineStr">
        <is>
          <t>Aturan Kantong</t>
        </is>
      </c>
    </row>
    <row r="2">
      <c r="A2" t="inlineStr">
        <is>
          <t>Menetapkan aturan alokasi otomatis per sumber pemasukan beserta target saldo minimum setiap kantong.</t>
        </is>
      </c>
    </row>
    <row r="3">
      <c r="A3" s="2" t="inlineStr">
        <is>
          <t>Buat satu baris untuk setiap sumber pemasukan atau skenario. Persentase total idealnya 100%. Kolom cek total akan memberi peringatan jika belum pas. Gunakan target minimum untuk mengetahui kebutuhan top up per kantong di dashboard atau analisis manual.</t>
        </is>
      </c>
    </row>
    <row r="5">
      <c r="A5" s="3" t="inlineStr">
        <is>
          <t>Nama Aturan</t>
        </is>
      </c>
      <c r="B5" s="3" t="inlineStr">
        <is>
          <t>Sumber Pemasukan</t>
        </is>
      </c>
      <c r="C5" s="3" t="inlineStr">
        <is>
          <t>Pajak %</t>
        </is>
      </c>
      <c r="D5" s="3" t="inlineStr">
        <is>
          <t>Tabungan %</t>
        </is>
      </c>
      <c r="E5" s="3" t="inlineStr">
        <is>
          <t>Operasional %</t>
        </is>
      </c>
      <c r="F5" s="3" t="inlineStr">
        <is>
          <t>Pribadi %</t>
        </is>
      </c>
      <c r="G5" s="3" t="inlineStr">
        <is>
          <t>Dana Darurat %</t>
        </is>
      </c>
      <c r="H5" s="3" t="inlineStr">
        <is>
          <t>Total %</t>
        </is>
      </c>
      <c r="I5" s="3" t="inlineStr">
        <is>
          <t>Status Aturan</t>
        </is>
      </c>
      <c r="J5" s="3" t="inlineStr">
        <is>
          <t>Target Minimum Pajak</t>
        </is>
      </c>
      <c r="K5" s="3" t="inlineStr">
        <is>
          <t>Target Minimum Tabungan</t>
        </is>
      </c>
      <c r="L5" s="3" t="inlineStr">
        <is>
          <t>Target Minimum Operasional</t>
        </is>
      </c>
      <c r="M5" s="3" t="inlineStr">
        <is>
          <t>Target Minimum Dana Darurat</t>
        </is>
      </c>
    </row>
    <row r="6">
      <c r="A6" s="4" t="inlineStr">
        <is>
          <t>Default Freelancer</t>
        </is>
      </c>
      <c r="B6" s="4" t="inlineStr">
        <is>
          <t>Lainnya</t>
        </is>
      </c>
      <c r="C6" s="5" t="n">
        <v>0.15</v>
      </c>
      <c r="D6" s="5" t="n">
        <v>0.15</v>
      </c>
      <c r="E6" s="5" t="n">
        <v>0.2</v>
      </c>
      <c r="F6" s="5" t="n">
        <v>0.4</v>
      </c>
      <c r="G6" s="5" t="n">
        <v>0.1</v>
      </c>
      <c r="H6" s="4">
        <f>C6+D6+E6+F6+G6</f>
        <v/>
      </c>
      <c r="I6" s="4">
        <f>IF(H6=100%,"OK","Cek Total")</f>
        <v/>
      </c>
      <c r="J6" s="6" t="n">
        <v>5000000</v>
      </c>
      <c r="K6" s="6" t="n">
        <v>10000000</v>
      </c>
      <c r="L6" s="6" t="n">
        <v>3000000</v>
      </c>
      <c r="M6" s="6" t="n">
        <v>15000000</v>
      </c>
    </row>
    <row r="7">
      <c r="A7" s="4" t="inlineStr">
        <is>
          <t>Retainer Stabil</t>
        </is>
      </c>
      <c r="B7" s="4" t="inlineStr">
        <is>
          <t>Klien Retainer</t>
        </is>
      </c>
      <c r="C7" s="5" t="n">
        <v>0.12</v>
      </c>
      <c r="D7" s="5" t="n">
        <v>0.18</v>
      </c>
      <c r="E7" s="5" t="n">
        <v>0.15</v>
      </c>
      <c r="F7" s="5" t="n">
        <v>0.45</v>
      </c>
      <c r="G7" s="5" t="n">
        <v>0.1</v>
      </c>
      <c r="H7" s="4">
        <f>C7+D7+E7+F7+G7</f>
        <v/>
      </c>
      <c r="I7" s="4">
        <f>IF(H7=100%,"OK","Cek Total")</f>
        <v/>
      </c>
      <c r="J7" s="6" t="n">
        <v>5000000</v>
      </c>
      <c r="K7" s="6" t="n">
        <v>12000000</v>
      </c>
      <c r="L7" s="6" t="n">
        <v>2500000</v>
      </c>
      <c r="M7" s="6" t="n">
        <v>15000000</v>
      </c>
    </row>
    <row r="8">
      <c r="A8" s="4" t="inlineStr">
        <is>
          <t>Proyek Besar</t>
        </is>
      </c>
      <c r="B8" s="4" t="inlineStr">
        <is>
          <t>Proyek Sekali</t>
        </is>
      </c>
      <c r="C8" s="5" t="n">
        <v>0.2</v>
      </c>
      <c r="D8" s="5" t="n">
        <v>0.2</v>
      </c>
      <c r="E8" s="5" t="n">
        <v>0.2</v>
      </c>
      <c r="F8" s="5" t="n">
        <v>0.3</v>
      </c>
      <c r="G8" s="5" t="n">
        <v>0.1</v>
      </c>
      <c r="H8" s="4">
        <f>C8+D8+E8+F8+G8</f>
        <v/>
      </c>
      <c r="I8" s="4">
        <f>IF(H8=100%,"OK","Cek Total")</f>
        <v/>
      </c>
      <c r="J8" s="6" t="n">
        <v>8000000</v>
      </c>
      <c r="K8" s="6" t="n">
        <v>15000000</v>
      </c>
      <c r="L8" s="6" t="n">
        <v>4000000</v>
      </c>
      <c r="M8" s="6" t="n">
        <v>20000000</v>
      </c>
    </row>
    <row r="9">
      <c r="A9" s="4" t="inlineStr">
        <is>
          <t>Konsultasi Cepat</t>
        </is>
      </c>
      <c r="B9" s="4" t="inlineStr">
        <is>
          <t>Konsultasi</t>
        </is>
      </c>
      <c r="C9" s="5" t="n">
        <v>0.1</v>
      </c>
      <c r="D9" s="5" t="n">
        <v>0.1</v>
      </c>
      <c r="E9" s="5" t="n">
        <v>0.1</v>
      </c>
      <c r="F9" s="5" t="n">
        <v>0.55</v>
      </c>
      <c r="G9" s="5" t="n">
        <v>0.15</v>
      </c>
      <c r="H9" s="4">
        <f>C9+D9+E9+F9+G9</f>
        <v/>
      </c>
      <c r="I9" s="4">
        <f>IF(H9=100%,"OK","Cek Total")</f>
        <v/>
      </c>
      <c r="J9" s="6" t="n">
        <v>3000000</v>
      </c>
      <c r="K9" s="6" t="n">
        <v>8000000</v>
      </c>
      <c r="L9" s="6" t="n">
        <v>2000000</v>
      </c>
      <c r="M9" s="6" t="n">
        <v>10000000</v>
      </c>
    </row>
    <row r="10">
      <c r="A10" s="4" t="n"/>
      <c r="B10" s="4" t="n"/>
      <c r="C10" s="4" t="n"/>
      <c r="D10" s="4" t="n"/>
      <c r="E10" s="4" t="n"/>
      <c r="F10" s="4" t="n"/>
      <c r="G10" s="4" t="n"/>
      <c r="H10" s="4">
        <f>C10+D10+E10+F10+G10</f>
        <v/>
      </c>
      <c r="I10" s="4">
        <f>IF(H10=100%,"OK","Cek Total")</f>
        <v/>
      </c>
      <c r="J10" s="4" t="n"/>
      <c r="K10" s="4" t="n"/>
      <c r="L10" s="4" t="n"/>
      <c r="M10" s="4" t="n"/>
    </row>
    <row r="11">
      <c r="A11" s="4" t="n"/>
      <c r="B11" s="4" t="n"/>
      <c r="C11" s="4" t="n"/>
      <c r="D11" s="4" t="n"/>
      <c r="E11" s="4" t="n"/>
      <c r="F11" s="4" t="n"/>
      <c r="G11" s="4" t="n"/>
      <c r="H11" s="4">
        <f>C11+D11+E11+F11+G11</f>
        <v/>
      </c>
      <c r="I11" s="4">
        <f>IF(H11=100%,"OK","Cek Total")</f>
        <v/>
      </c>
      <c r="J11" s="4" t="n"/>
      <c r="K11" s="4" t="n"/>
      <c r="L11" s="4" t="n"/>
      <c r="M11" s="4" t="n"/>
    </row>
    <row r="12">
      <c r="A12" s="4" t="n"/>
      <c r="B12" s="4" t="n"/>
      <c r="C12" s="4" t="n"/>
      <c r="D12" s="4" t="n"/>
      <c r="E12" s="4" t="n"/>
      <c r="F12" s="4" t="n"/>
      <c r="G12" s="4" t="n"/>
      <c r="H12" s="4">
        <f>C12+D12+E12+F12+G12</f>
        <v/>
      </c>
      <c r="I12" s="4">
        <f>IF(H12=100%,"OK","Cek Total")</f>
        <v/>
      </c>
      <c r="J12" s="4" t="n"/>
      <c r="K12" s="4" t="n"/>
      <c r="L12" s="4" t="n"/>
      <c r="M12" s="4" t="n"/>
    </row>
  </sheetData>
  <dataValidations count="1">
    <dataValidation sqref="B6:B17" showDropDown="0" showInputMessage="0" showErrorMessage="0" allowBlank="1" type="list">
      <formula1>"Klien Retainer,Proyek Sekali,Marketplace,Afiliasi,Konsultasi,Lainnya"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15" customWidth="1" min="1" max="1"/>
    <col width="24" customWidth="1" min="2" max="2"/>
    <col width="21" customWidth="1" min="3" max="3"/>
    <col width="20" customWidth="1" min="4" max="4"/>
    <col width="22" customWidth="1" min="5" max="5"/>
    <col width="15" customWidth="1" min="6" max="6"/>
    <col width="18" customWidth="1" min="7" max="7"/>
    <col width="21" customWidth="1" min="8" max="8"/>
    <col width="24" customWidth="1" min="9" max="9"/>
    <col width="27" customWidth="1" min="10" max="10"/>
    <col width="23" customWidth="1" min="11" max="11"/>
    <col width="29" customWidth="1" min="12" max="12"/>
    <col width="15" customWidth="1" min="13" max="13"/>
  </cols>
  <sheetData>
    <row r="1">
      <c r="A1" s="1" t="inlineStr">
        <is>
          <t>Transaksi Masuk</t>
        </is>
      </c>
    </row>
    <row r="2">
      <c r="A2" t="inlineStr">
        <is>
          <t>Mencatat setiap pemasukan dan menghitung pembagian otomatis ke tiap kantong berdasarkan aturan yang dipilih.</t>
        </is>
      </c>
    </row>
    <row r="3">
      <c r="A3" s="2" t="inlineStr">
        <is>
          <t>Isi tanggal, sumber, nama klien/proyek, nominal pemasukan, dan pilih aturan kantong. Kolom alokasi akan terhitung otomatis. Jika persentase pada aturan tidak 100%, cek kolom sisa belum teralokasi. Sheet ini adalah inti simulasi autopilot pembagian uang.</t>
        </is>
      </c>
    </row>
    <row r="5">
      <c r="A5" s="3" t="inlineStr">
        <is>
          <t>Tanggal</t>
        </is>
      </c>
      <c r="B5" s="3" t="inlineStr">
        <is>
          <t>Sumber Pemasukan</t>
        </is>
      </c>
      <c r="C5" s="3" t="inlineStr">
        <is>
          <t>Nominal Masuk</t>
        </is>
      </c>
      <c r="D5" s="3" t="inlineStr">
        <is>
          <t>Klien/Proyek</t>
        </is>
      </c>
      <c r="E5" s="3" t="inlineStr">
        <is>
          <t>Aturan Dipakai</t>
        </is>
      </c>
      <c r="F5" s="3" t="inlineStr">
        <is>
          <t>Pajak %</t>
        </is>
      </c>
      <c r="G5" s="3" t="inlineStr">
        <is>
          <t>Tabungan %</t>
        </is>
      </c>
      <c r="H5" s="3" t="inlineStr">
        <is>
          <t>Alokasi Pajak</t>
        </is>
      </c>
      <c r="I5" s="3" t="inlineStr">
        <is>
          <t>Alokasi Tabungan</t>
        </is>
      </c>
      <c r="J5" s="3" t="inlineStr">
        <is>
          <t>Alokasi Operasional</t>
        </is>
      </c>
      <c r="K5" s="3" t="inlineStr">
        <is>
          <t>Alokasi Pribadi</t>
        </is>
      </c>
      <c r="L5" s="3" t="inlineStr">
        <is>
          <t>Sisa Belum Teralokasi</t>
        </is>
      </c>
      <c r="M5" s="3" t="inlineStr">
        <is>
          <t>Catatan</t>
        </is>
      </c>
    </row>
    <row r="6">
      <c r="A6" s="4" t="inlineStr">
        <is>
          <t>2026-09-01</t>
        </is>
      </c>
      <c r="B6" s="4" t="inlineStr">
        <is>
          <t>Klien Retainer</t>
        </is>
      </c>
      <c r="C6" s="6" t="n">
        <v>7500000</v>
      </c>
      <c r="D6" s="4" t="inlineStr">
        <is>
          <t>Retainer Brand A</t>
        </is>
      </c>
      <c r="E6" s="4" t="inlineStr">
        <is>
          <t>Retainer Stabil</t>
        </is>
      </c>
      <c r="F6" s="4">
        <f>IFERROR(XLOOKUP(E6,'Aturan Kantong'!A:A,'Aturan Kantong'!C:C),0)</f>
        <v/>
      </c>
      <c r="G6" s="4">
        <f>IFERROR(XLOOKUP(E6,'Aturan Kantong'!A:A,'Aturan Kantong'!D:D),0)</f>
        <v/>
      </c>
      <c r="H6" s="4">
        <f>C6*F6</f>
        <v/>
      </c>
      <c r="I6" s="4">
        <f>C6*G6</f>
        <v/>
      </c>
      <c r="J6" s="4">
        <f>C6*IFERROR(XLOOKUP(E6,'Aturan Kantong'!A:A,'Aturan Kantong'!E:E),0)</f>
        <v/>
      </c>
      <c r="K6" s="4">
        <f>C6*IFERROR(XLOOKUP(E6,'Aturan Kantong'!A:A,'Aturan Kantong'!F:F),0)</f>
        <v/>
      </c>
      <c r="L6" s="4">
        <f>C6-(H6+I6+J6+K6+(C6*IFERROR(XLOOKUP(E6,'Aturan Kantong'!A:A,'Aturan Kantong'!G:G),0)))</f>
        <v/>
      </c>
      <c r="M6" s="4" t="inlineStr">
        <is>
          <t>Pembayaran bulanan</t>
        </is>
      </c>
    </row>
    <row r="7">
      <c r="A7" s="4" t="inlineStr">
        <is>
          <t>2026-09-03</t>
        </is>
      </c>
      <c r="B7" s="4" t="inlineStr">
        <is>
          <t>Proyek Sekali</t>
        </is>
      </c>
      <c r="C7" s="6" t="n">
        <v>12000000</v>
      </c>
      <c r="D7" s="4" t="inlineStr">
        <is>
          <t>Website Klien B</t>
        </is>
      </c>
      <c r="E7" s="4" t="inlineStr">
        <is>
          <t>Proyek Besar</t>
        </is>
      </c>
      <c r="F7" s="4">
        <f>IFERROR(XLOOKUP(E7,'Aturan Kantong'!A:A,'Aturan Kantong'!C:C),0)</f>
        <v/>
      </c>
      <c r="G7" s="4">
        <f>IFERROR(XLOOKUP(E7,'Aturan Kantong'!A:A,'Aturan Kantong'!D:D),0)</f>
        <v/>
      </c>
      <c r="H7" s="4">
        <f>C7*F7</f>
        <v/>
      </c>
      <c r="I7" s="4">
        <f>C7*G7</f>
        <v/>
      </c>
      <c r="J7" s="4">
        <f>C7*IFERROR(XLOOKUP(E7,'Aturan Kantong'!A:A,'Aturan Kantong'!E:E),0)</f>
        <v/>
      </c>
      <c r="K7" s="4">
        <f>C7*IFERROR(XLOOKUP(E7,'Aturan Kantong'!A:A,'Aturan Kantong'!F:F),0)</f>
        <v/>
      </c>
      <c r="L7" s="4">
        <f>C7-(H7+I7+J7+K7+(C7*IFERROR(XLOOKUP(E7,'Aturan Kantong'!A:A,'Aturan Kantong'!G:G),0)))</f>
        <v/>
      </c>
      <c r="M7" s="4" t="inlineStr">
        <is>
          <t>DP tahap 1</t>
        </is>
      </c>
    </row>
    <row r="8">
      <c r="A8" s="4" t="inlineStr">
        <is>
          <t>2026-09-05</t>
        </is>
      </c>
      <c r="B8" s="4" t="inlineStr">
        <is>
          <t>Konsultasi</t>
        </is>
      </c>
      <c r="C8" s="6" t="n">
        <v>1500000</v>
      </c>
      <c r="D8" s="4" t="inlineStr">
        <is>
          <t>Sesi Strategi C</t>
        </is>
      </c>
      <c r="E8" s="4" t="inlineStr">
        <is>
          <t>Konsultasi Cepat</t>
        </is>
      </c>
      <c r="F8" s="4">
        <f>IFERROR(XLOOKUP(E8,'Aturan Kantong'!A:A,'Aturan Kantong'!C:C),0)</f>
        <v/>
      </c>
      <c r="G8" s="4">
        <f>IFERROR(XLOOKUP(E8,'Aturan Kantong'!A:A,'Aturan Kantong'!D:D),0)</f>
        <v/>
      </c>
      <c r="H8" s="4">
        <f>C8*F8</f>
        <v/>
      </c>
      <c r="I8" s="4">
        <f>C8*G8</f>
        <v/>
      </c>
      <c r="J8" s="4">
        <f>C8*IFERROR(XLOOKUP(E8,'Aturan Kantong'!A:A,'Aturan Kantong'!E:E),0)</f>
        <v/>
      </c>
      <c r="K8" s="4">
        <f>C8*IFERROR(XLOOKUP(E8,'Aturan Kantong'!A:A,'Aturan Kantong'!F:F),0)</f>
        <v/>
      </c>
      <c r="L8" s="4">
        <f>C8-(H8+I8+J8+K8+(C8*IFERROR(XLOOKUP(E8,'Aturan Kantong'!A:A,'Aturan Kantong'!G:G),0)))</f>
        <v/>
      </c>
      <c r="M8" s="4" t="inlineStr">
        <is>
          <t>Bayar lunas</t>
        </is>
      </c>
    </row>
    <row r="9">
      <c r="A9" s="4" t="inlineStr">
        <is>
          <t>2026-09-08</t>
        </is>
      </c>
      <c r="B9" s="4" t="inlineStr">
        <is>
          <t>Marketplace</t>
        </is>
      </c>
      <c r="C9" s="6" t="n">
        <v>2200000</v>
      </c>
      <c r="D9" s="4" t="inlineStr">
        <is>
          <t>Penjualan template</t>
        </is>
      </c>
      <c r="E9" s="4" t="inlineStr">
        <is>
          <t>Default Freelancer</t>
        </is>
      </c>
      <c r="F9" s="4">
        <f>IFERROR(XLOOKUP(E9,'Aturan Kantong'!A:A,'Aturan Kantong'!C:C),0)</f>
        <v/>
      </c>
      <c r="G9" s="4">
        <f>IFERROR(XLOOKUP(E9,'Aturan Kantong'!A:A,'Aturan Kantong'!D:D),0)</f>
        <v/>
      </c>
      <c r="H9" s="4">
        <f>C9*F9</f>
        <v/>
      </c>
      <c r="I9" s="4">
        <f>C9*G9</f>
        <v/>
      </c>
      <c r="J9" s="4">
        <f>C9*IFERROR(XLOOKUP(E9,'Aturan Kantong'!A:A,'Aturan Kantong'!E:E),0)</f>
        <v/>
      </c>
      <c r="K9" s="4">
        <f>C9*IFERROR(XLOOKUP(E9,'Aturan Kantong'!A:A,'Aturan Kantong'!F:F),0)</f>
        <v/>
      </c>
      <c r="L9" s="4">
        <f>C9-(H9+I9+J9+K9+(C9*IFERROR(XLOOKUP(E9,'Aturan Kantong'!A:A,'Aturan Kantong'!G:G),0)))</f>
        <v/>
      </c>
      <c r="M9" s="4" t="inlineStr">
        <is>
          <t>Payout mingguan</t>
        </is>
      </c>
    </row>
    <row r="10">
      <c r="A10" s="4" t="inlineStr">
        <is>
          <t>2026-09-10</t>
        </is>
      </c>
      <c r="B10" s="4" t="inlineStr">
        <is>
          <t>Afiliasi</t>
        </is>
      </c>
      <c r="C10" s="6" t="n">
        <v>900000</v>
      </c>
      <c r="D10" s="4" t="inlineStr">
        <is>
          <t>Komisi tools</t>
        </is>
      </c>
      <c r="E10" s="4" t="inlineStr">
        <is>
          <t>Default Freelancer</t>
        </is>
      </c>
      <c r="F10" s="4">
        <f>IFERROR(XLOOKUP(E10,'Aturan Kantong'!A:A,'Aturan Kantong'!C:C),0)</f>
        <v/>
      </c>
      <c r="G10" s="4">
        <f>IFERROR(XLOOKUP(E10,'Aturan Kantong'!A:A,'Aturan Kantong'!D:D),0)</f>
        <v/>
      </c>
      <c r="H10" s="4">
        <f>C10*F10</f>
        <v/>
      </c>
      <c r="I10" s="4">
        <f>C10*G10</f>
        <v/>
      </c>
      <c r="J10" s="4">
        <f>C10*IFERROR(XLOOKUP(E10,'Aturan Kantong'!A:A,'Aturan Kantong'!E:E),0)</f>
        <v/>
      </c>
      <c r="K10" s="4">
        <f>C10*IFERROR(XLOOKUP(E10,'Aturan Kantong'!A:A,'Aturan Kantong'!F:F),0)</f>
        <v/>
      </c>
      <c r="L10" s="4">
        <f>C10-(H10+I10+J10+K10+(C10*IFERROR(XLOOKUP(E10,'Aturan Kantong'!A:A,'Aturan Kantong'!G:G),0)))</f>
        <v/>
      </c>
      <c r="M10" s="4" t="inlineStr">
        <is>
          <t>Komisi bulanan</t>
        </is>
      </c>
    </row>
    <row r="11">
      <c r="A11" s="4" t="n"/>
      <c r="B11" s="4" t="n"/>
      <c r="C11" s="4" t="n"/>
      <c r="D11" s="4" t="n"/>
      <c r="E11" s="4" t="n"/>
      <c r="F11" s="4">
        <f>IFERROR(XLOOKUP(E11,'Aturan Kantong'!A:A,'Aturan Kantong'!C:C),0)</f>
        <v/>
      </c>
      <c r="G11" s="4">
        <f>IFERROR(XLOOKUP(E11,'Aturan Kantong'!A:A,'Aturan Kantong'!D:D),0)</f>
        <v/>
      </c>
      <c r="H11" s="4">
        <f>C11*F11</f>
        <v/>
      </c>
      <c r="I11" s="4">
        <f>C11*G11</f>
        <v/>
      </c>
      <c r="J11" s="4">
        <f>C11*IFERROR(XLOOKUP(E11,'Aturan Kantong'!A:A,'Aturan Kantong'!E:E),0)</f>
        <v/>
      </c>
      <c r="K11" s="4">
        <f>C11*IFERROR(XLOOKUP(E11,'Aturan Kantong'!A:A,'Aturan Kantong'!F:F),0)</f>
        <v/>
      </c>
      <c r="L11" s="4">
        <f>C11-(H11+I11+J11+K11+(C11*IFERROR(XLOOKUP(E11,'Aturan Kantong'!A:A,'Aturan Kantong'!G:G),0)))</f>
        <v/>
      </c>
      <c r="M11" s="4" t="n"/>
    </row>
    <row r="12">
      <c r="A12" s="4" t="n"/>
      <c r="B12" s="4" t="n"/>
      <c r="C12" s="4" t="n"/>
      <c r="D12" s="4" t="n"/>
      <c r="E12" s="4" t="n"/>
      <c r="F12" s="4">
        <f>IFERROR(XLOOKUP(E12,'Aturan Kantong'!A:A,'Aturan Kantong'!C:C),0)</f>
        <v/>
      </c>
      <c r="G12" s="4">
        <f>IFERROR(XLOOKUP(E12,'Aturan Kantong'!A:A,'Aturan Kantong'!D:D),0)</f>
        <v/>
      </c>
      <c r="H12" s="4">
        <f>C12*F12</f>
        <v/>
      </c>
      <c r="I12" s="4">
        <f>C12*G12</f>
        <v/>
      </c>
      <c r="J12" s="4">
        <f>C12*IFERROR(XLOOKUP(E12,'Aturan Kantong'!A:A,'Aturan Kantong'!E:E),0)</f>
        <v/>
      </c>
      <c r="K12" s="4">
        <f>C12*IFERROR(XLOOKUP(E12,'Aturan Kantong'!A:A,'Aturan Kantong'!F:F),0)</f>
        <v/>
      </c>
      <c r="L12" s="4">
        <f>C12-(H12+I12+J12+K12+(C12*IFERROR(XLOOKUP(E12,'Aturan Kantong'!A:A,'Aturan Kantong'!G:G),0)))</f>
        <v/>
      </c>
      <c r="M12" s="4" t="n"/>
    </row>
    <row r="13">
      <c r="A13" s="4" t="n"/>
      <c r="B13" s="4" t="n"/>
      <c r="C13" s="4" t="n"/>
      <c r="D13" s="4" t="n"/>
      <c r="E13" s="4" t="n"/>
      <c r="F13" s="4">
        <f>IFERROR(XLOOKUP(E13,'Aturan Kantong'!A:A,'Aturan Kantong'!C:C),0)</f>
        <v/>
      </c>
      <c r="G13" s="4">
        <f>IFERROR(XLOOKUP(E13,'Aturan Kantong'!A:A,'Aturan Kantong'!D:D),0)</f>
        <v/>
      </c>
      <c r="H13" s="4">
        <f>C13*F13</f>
        <v/>
      </c>
      <c r="I13" s="4">
        <f>C13*G13</f>
        <v/>
      </c>
      <c r="J13" s="4">
        <f>C13*IFERROR(XLOOKUP(E13,'Aturan Kantong'!A:A,'Aturan Kantong'!E:E),0)</f>
        <v/>
      </c>
      <c r="K13" s="4">
        <f>C13*IFERROR(XLOOKUP(E13,'Aturan Kantong'!A:A,'Aturan Kantong'!F:F),0)</f>
        <v/>
      </c>
      <c r="L13" s="4">
        <f>C13-(H13+I13+J13+K13+(C13*IFERROR(XLOOKUP(E13,'Aturan Kantong'!A:A,'Aturan Kantong'!G:G),0)))</f>
        <v/>
      </c>
      <c r="M13" s="4" t="n"/>
    </row>
    <row r="15">
      <c r="A15" s="7" t="inlineStr">
        <is>
          <t>Total pemasukan</t>
        </is>
      </c>
      <c r="B15" s="8">
        <f>SUM(C6:C13)</f>
        <v/>
      </c>
    </row>
    <row r="16">
      <c r="A16" s="7" t="inlineStr">
        <is>
          <t>Total alokasi pajak</t>
        </is>
      </c>
      <c r="G16" s="8">
        <f>SUM(H6:H13)</f>
        <v/>
      </c>
    </row>
    <row r="17">
      <c r="A17" s="7" t="inlineStr">
        <is>
          <t>Total alokasi tabungan</t>
        </is>
      </c>
      <c r="H17" s="8">
        <f>SUM(I6:I13)</f>
        <v/>
      </c>
    </row>
    <row r="18">
      <c r="A18" s="7" t="inlineStr">
        <is>
          <t>Total alokasi operasional</t>
        </is>
      </c>
      <c r="I18" s="8">
        <f>SUM(J6:J13)</f>
        <v/>
      </c>
    </row>
    <row r="19">
      <c r="A19" s="7" t="inlineStr">
        <is>
          <t>Total alokasi pribadi</t>
        </is>
      </c>
      <c r="J19" s="8">
        <f>SUM(K6:K13)</f>
        <v/>
      </c>
    </row>
    <row r="20">
      <c r="A20" s="7" t="inlineStr">
        <is>
          <t>Total sisa belum teralokasi</t>
        </is>
      </c>
      <c r="K20" s="8">
        <f>SUM(L6:L13)</f>
        <v/>
      </c>
    </row>
  </sheetData>
  <dataValidations count="1">
    <dataValidation sqref="B6:B18" showDropDown="0" showInputMessage="0" showErrorMessage="0" allowBlank="1" type="list">
      <formula1>"Klien Retainer,Proyek Sekali,Marketplace,Afiliasi,Konsultasi,Lainnya"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20" customWidth="1" min="1" max="1"/>
    <col width="20" customWidth="1" min="2" max="2"/>
    <col width="22" customWidth="1" min="3" max="3"/>
    <col width="15" customWidth="1" min="4" max="4"/>
    <col width="20" customWidth="1" min="5" max="5"/>
    <col width="14" customWidth="1" min="6" max="6"/>
  </cols>
  <sheetData>
    <row r="1">
      <c r="A1" s="1" t="inlineStr">
        <is>
          <t>Status Kantong</t>
        </is>
      </c>
    </row>
    <row r="2">
      <c r="A2" t="inlineStr">
        <is>
          <t>Merangkum saldo per kantong, membandingkan dengan target minimum, dan menunjukkan apakah kantong sudah aman atau masih perlu top up.</t>
        </is>
      </c>
    </row>
    <row r="3">
      <c r="A3" s="2" t="inlineStr">
        <is>
          <t>Sheet ini tidak perlu banyak input manual. Isi nama kantong dan target minimum sesuai kebutuhan bila ingin menyesuaikan. Saldo aktual diambil dari sheet Transaksi Masuk. Gunakan kolom kekurangan untuk menentukan prioritas alokasi berikutnya.</t>
        </is>
      </c>
    </row>
    <row r="5">
      <c r="A5" s="3" t="inlineStr">
        <is>
          <t>Nama Kantong</t>
        </is>
      </c>
      <c r="B5" s="3" t="inlineStr">
        <is>
          <t>Saldo Aktual</t>
        </is>
      </c>
      <c r="C5" s="3" t="inlineStr">
        <is>
          <t>Target Minimum</t>
        </is>
      </c>
      <c r="D5" s="3" t="inlineStr">
        <is>
          <t>Selisih</t>
        </is>
      </c>
      <c r="E5" s="3" t="inlineStr">
        <is>
          <t>Butuh Top Up</t>
        </is>
      </c>
      <c r="F5" s="3" t="inlineStr">
        <is>
          <t>Status</t>
        </is>
      </c>
    </row>
    <row r="6">
      <c r="A6" s="4" t="inlineStr">
        <is>
          <t>Pajak</t>
        </is>
      </c>
      <c r="B6" s="4">
        <f>IF(A6="Pajak",SUM('Transaksi Masuk'!H:H),IF(A6="Tabungan",SUM('Transaksi Masuk'!I:I),IF(A6="Operasional",SUM('Transaksi Masuk'!J:J),IF(A6="Pribadi",SUM('Transaksi Masuk'!K:K),SUMPRODUCT('Transaksi Masuk'!C:C*IFERROR(XLOOKUP('Transaksi Masuk'!E:E,'Aturan Kantong'!A:A,'Aturan Kantong'!G:G),0))))))</f>
        <v/>
      </c>
      <c r="C6" s="6" t="n">
        <v>5000000</v>
      </c>
      <c r="D6" s="4">
        <f>B6-C6</f>
        <v/>
      </c>
      <c r="E6" s="4">
        <f>MAX(C6-B6,0)</f>
        <v/>
      </c>
      <c r="F6" s="4">
        <f>IF(B6&gt;=C6,"Aman","Perlu Isi")</f>
        <v/>
      </c>
    </row>
    <row r="7">
      <c r="A7" s="4" t="inlineStr">
        <is>
          <t>Tabungan</t>
        </is>
      </c>
      <c r="B7" s="4">
        <f>IF(A7="Pajak",SUM('Transaksi Masuk'!H:H),IF(A7="Tabungan",SUM('Transaksi Masuk'!I:I),IF(A7="Operasional",SUM('Transaksi Masuk'!J:J),IF(A7="Pribadi",SUM('Transaksi Masuk'!K:K),SUMPRODUCT('Transaksi Masuk'!C:C*IFERROR(XLOOKUP('Transaksi Masuk'!E:E,'Aturan Kantong'!A:A,'Aturan Kantong'!G:G),0))))))</f>
        <v/>
      </c>
      <c r="C7" s="6" t="n">
        <v>10000000</v>
      </c>
      <c r="D7" s="4">
        <f>B7-C7</f>
        <v/>
      </c>
      <c r="E7" s="4">
        <f>MAX(C7-B7,0)</f>
        <v/>
      </c>
      <c r="F7" s="4">
        <f>IF(B7&gt;=C7,"Aman","Perlu Isi")</f>
        <v/>
      </c>
    </row>
    <row r="8">
      <c r="A8" s="4" t="inlineStr">
        <is>
          <t>Operasional</t>
        </is>
      </c>
      <c r="B8" s="4">
        <f>IF(A8="Pajak",SUM('Transaksi Masuk'!H:H),IF(A8="Tabungan",SUM('Transaksi Masuk'!I:I),IF(A8="Operasional",SUM('Transaksi Masuk'!J:J),IF(A8="Pribadi",SUM('Transaksi Masuk'!K:K),SUMPRODUCT('Transaksi Masuk'!C:C*IFERROR(XLOOKUP('Transaksi Masuk'!E:E,'Aturan Kantong'!A:A,'Aturan Kantong'!G:G),0))))))</f>
        <v/>
      </c>
      <c r="C8" s="6" t="n">
        <v>3000000</v>
      </c>
      <c r="D8" s="4">
        <f>B8-C8</f>
        <v/>
      </c>
      <c r="E8" s="4">
        <f>MAX(C8-B8,0)</f>
        <v/>
      </c>
      <c r="F8" s="4">
        <f>IF(B8&gt;=C8,"Aman","Perlu Isi")</f>
        <v/>
      </c>
    </row>
    <row r="9">
      <c r="A9" s="4" t="inlineStr">
        <is>
          <t>Pribadi</t>
        </is>
      </c>
      <c r="B9" s="4">
        <f>IF(A9="Pajak",SUM('Transaksi Masuk'!H:H),IF(A9="Tabungan",SUM('Transaksi Masuk'!I:I),IF(A9="Operasional",SUM('Transaksi Masuk'!J:J),IF(A9="Pribadi",SUM('Transaksi Masuk'!K:K),SUMPRODUCT('Transaksi Masuk'!C:C*IFERROR(XLOOKUP('Transaksi Masuk'!E:E,'Aturan Kantong'!A:A,'Aturan Kantong'!G:G),0))))))</f>
        <v/>
      </c>
      <c r="C9" s="6" t="n">
        <v>0</v>
      </c>
      <c r="D9" s="4">
        <f>B9-C9</f>
        <v/>
      </c>
      <c r="E9" s="4">
        <f>MAX(C9-B9,0)</f>
        <v/>
      </c>
      <c r="F9" s="4">
        <f>IF(B9&gt;=C9,"Aman","Perlu Isi")</f>
        <v/>
      </c>
    </row>
    <row r="10">
      <c r="A10" s="4" t="inlineStr">
        <is>
          <t>Dana Darurat</t>
        </is>
      </c>
      <c r="B10" s="4">
        <f>IF(A10="Pajak",SUM('Transaksi Masuk'!H:H),IF(A10="Tabungan",SUM('Transaksi Masuk'!I:I),IF(A10="Operasional",SUM('Transaksi Masuk'!J:J),IF(A10="Pribadi",SUM('Transaksi Masuk'!K:K),SUMPRODUCT('Transaksi Masuk'!C:C*IFERROR(XLOOKUP('Transaksi Masuk'!E:E,'Aturan Kantong'!A:A,'Aturan Kantong'!G:G),0))))))</f>
        <v/>
      </c>
      <c r="C10" s="6" t="n">
        <v>15000000</v>
      </c>
      <c r="D10" s="4">
        <f>B10-C10</f>
        <v/>
      </c>
      <c r="E10" s="4">
        <f>MAX(C10-B10,0)</f>
        <v/>
      </c>
      <c r="F10" s="4">
        <f>IF(B10&gt;=C10,"Aman","Perlu Isi")</f>
        <v/>
      </c>
    </row>
    <row r="11">
      <c r="A11" s="4" t="n"/>
      <c r="B11" s="4">
        <f>IF(A11="Pajak",SUM('Transaksi Masuk'!H:H),IF(A11="Tabungan",SUM('Transaksi Masuk'!I:I),IF(A11="Operasional",SUM('Transaksi Masuk'!J:J),IF(A11="Pribadi",SUM('Transaksi Masuk'!K:K),SUMPRODUCT('Transaksi Masuk'!C:C*IFERROR(XLOOKUP('Transaksi Masuk'!E:E,'Aturan Kantong'!A:A,'Aturan Kantong'!G:G),0))))))</f>
        <v/>
      </c>
      <c r="C11" s="4" t="n"/>
      <c r="D11" s="4">
        <f>B11-C11</f>
        <v/>
      </c>
      <c r="E11" s="4">
        <f>MAX(C11-B11,0)</f>
        <v/>
      </c>
      <c r="F11" s="4">
        <f>IF(B11&gt;=C11,"Aman","Perlu Isi")</f>
        <v/>
      </c>
    </row>
    <row r="12">
      <c r="A12" s="4" t="n"/>
      <c r="B12" s="4">
        <f>IF(A12="Pajak",SUM('Transaksi Masuk'!H:H),IF(A12="Tabungan",SUM('Transaksi Masuk'!I:I),IF(A12="Operasional",SUM('Transaksi Masuk'!J:J),IF(A12="Pribadi",SUM('Transaksi Masuk'!K:K),SUMPRODUCT('Transaksi Masuk'!C:C*IFERROR(XLOOKUP('Transaksi Masuk'!E:E,'Aturan Kantong'!A:A,'Aturan Kantong'!G:G),0))))))</f>
        <v/>
      </c>
      <c r="C12" s="4" t="n"/>
      <c r="D12" s="4">
        <f>B12-C12</f>
        <v/>
      </c>
      <c r="E12" s="4">
        <f>MAX(C12-B12,0)</f>
        <v/>
      </c>
      <c r="F12" s="4">
        <f>IF(B12&gt;=C12,"Aman","Perlu Isi")</f>
        <v/>
      </c>
    </row>
    <row r="13">
      <c r="A13" s="4" t="n"/>
      <c r="B13" s="4">
        <f>IF(A13="Pajak",SUM('Transaksi Masuk'!H:H),IF(A13="Tabungan",SUM('Transaksi Masuk'!I:I),IF(A13="Operasional",SUM('Transaksi Masuk'!J:J),IF(A13="Pribadi",SUM('Transaksi Masuk'!K:K),SUMPRODUCT('Transaksi Masuk'!C:C*IFERROR(XLOOKUP('Transaksi Masuk'!E:E,'Aturan Kantong'!A:A,'Aturan Kantong'!G:G),0))))))</f>
        <v/>
      </c>
      <c r="C13" s="4" t="n"/>
      <c r="D13" s="4">
        <f>B13-C13</f>
        <v/>
      </c>
      <c r="E13" s="4">
        <f>MAX(C13-B13,0)</f>
        <v/>
      </c>
      <c r="F13" s="4">
        <f>IF(B13&gt;=C13,"Aman","Perlu Isi")</f>
        <v/>
      </c>
    </row>
    <row r="15">
      <c r="A15" s="8">
        <f>SUM(B6:B13)</f>
        <v/>
      </c>
    </row>
    <row r="16">
      <c r="A16" s="7" t="inlineStr">
        <is>
          <t>Total target minimum</t>
        </is>
      </c>
      <c r="B16" s="8">
        <f>SUM(C6:C13)</f>
        <v/>
      </c>
    </row>
    <row r="17">
      <c r="A17" s="7" t="inlineStr">
        <is>
          <t>Total kebutuhan top up</t>
        </is>
      </c>
      <c r="D17" s="8">
        <f>SUM(E6:E13)</f>
        <v/>
      </c>
    </row>
  </sheetData>
  <dataValidations count="1">
    <dataValidation sqref="A6:A18" showDropDown="0" showInputMessage="0" showErrorMessage="0" allowBlank="1" type="list">
      <formula1>"Pajak,Tabungan,Operasional,Pribadi,Dana Darurat"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2026-09-08T08:28:31Z</dcterms:created>
  <dcterms:modified xsi:type="dcterms:W3CDTF">2026-09-08T08:28:31Z</dcterms:modified>
</cp:coreProperties>
</file>