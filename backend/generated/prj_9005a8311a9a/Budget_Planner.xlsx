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duan &amp; Ringkasan" sheetId="1" state="visible" r:id="rId1"/>
    <sheet name="Transaksi" sheetId="2" state="visible" r:id="rId2"/>
    <sheet name="Alokasi Bulanan" sheetId="3" state="visible" r:id="rId3"/>
    <sheet name="Dashboard Amplop"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B6E6B"/>
      <sz val="14"/>
    </font>
    <font>
      <i val="1"/>
      <color rgb="005B6472"/>
    </font>
    <font>
      <b val="1"/>
      <color rgb="00FFFFFF"/>
      <sz val="11"/>
    </font>
    <font>
      <b val="1"/>
    </font>
    <font>
      <b val="1"/>
      <color rgb="00C07A2B"/>
    </font>
  </fonts>
  <fills count="3">
    <fill>
      <patternFill/>
    </fill>
    <fill>
      <patternFill patternType="gray125"/>
    </fill>
    <fill>
      <patternFill patternType="solid">
        <fgColor rgb="000B6E6B"/>
        <bgColor rgb="000B6E6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xf>
    <xf numFmtId="0" fontId="0" fillId="0" borderId="1" pivotButton="0" quotePrefix="0" xfId="0"/>
    <xf numFmtId="3" fontId="0" fillId="0" borderId="1" pivotButton="0" quotePrefix="0" xfId="0"/>
    <xf numFmtId="0" fontId="4" fillId="0" borderId="0" pivotButton="0" quotePrefix="0" xfId="0"/>
    <xf numFmtId="0" fontId="5" fillId="0" borderId="0" pivotButton="0" quotePrefix="0" xfId="0"/>
    <xf numFmtId="9"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pane ySplit="5" topLeftCell="A6" activePane="bottomLeft" state="frozen"/>
      <selection pane="bottomLeft" activeCell="A1" sqref="A1"/>
    </sheetView>
  </sheetViews>
  <sheetFormatPr baseColWidth="8" defaultRowHeight="15"/>
  <cols>
    <col width="14" customWidth="1" min="1" max="1"/>
    <col width="18" customWidth="1" min="2" max="2"/>
    <col width="14" customWidth="1" min="3" max="3"/>
  </cols>
  <sheetData>
    <row r="1">
      <c r="A1" s="1" t="inlineStr">
        <is>
          <t>Panduan &amp; Ringkasan</t>
        </is>
      </c>
    </row>
    <row r="2">
      <c r="A2" t="inlineStr">
        <is>
          <t>Memberi panduan pakai singkat dan menampilkan ringkasan angka utama dari sheet transaksi, alokasi, dan saldo amplop.</t>
        </is>
      </c>
    </row>
    <row r="3">
      <c r="A3" s="2" t="inlineStr">
        <is>
          <t>Isi sheet Transaksi setiap ada uang masuk atau keluar. Lalu buka sheet Alokasi Bulanan sekali sebulan untuk membagi pemasukan ke amplop digital. Cek sheet Dashboard Amplop untuk melihat apakah pajak, tabungan, dan biaya hidup sudah aman. Gunakan workbook ini 30 menit di akhir bulan atau awal bulan berikutnya.</t>
        </is>
      </c>
    </row>
    <row r="5">
      <c r="A5" s="3" t="inlineStr">
        <is>
          <t>Bagian</t>
        </is>
      </c>
      <c r="B5" s="3" t="inlineStr">
        <is>
          <t>Keterangan</t>
        </is>
      </c>
      <c r="C5" s="3" t="inlineStr">
        <is>
          <t>Nilai</t>
        </is>
      </c>
    </row>
    <row r="6">
      <c r="A6" s="4" t="inlineStr">
        <is>
          <t>Langkah 1</t>
        </is>
      </c>
      <c r="B6" s="4" t="inlineStr">
        <is>
          <t>Catat semua pemasukan dan pengeluaran di sheet Transaksi</t>
        </is>
      </c>
      <c r="C6" s="4">
        <f>C6</f>
        <v/>
      </c>
    </row>
    <row r="7">
      <c r="A7" s="4" t="inlineStr">
        <is>
          <t>Langkah 2</t>
        </is>
      </c>
      <c r="B7" s="4" t="inlineStr">
        <is>
          <t>Di sheet Alokasi Bulanan, isi target persen amplop dan realisasi pemasukan bulan ini</t>
        </is>
      </c>
      <c r="C7" s="4">
        <f>C7</f>
        <v/>
      </c>
    </row>
    <row r="8">
      <c r="A8" s="4" t="inlineStr">
        <is>
          <t>Langkah 3</t>
        </is>
      </c>
      <c r="B8" s="4" t="inlineStr">
        <is>
          <t>Cek sheet Dashboard Amplop untuk melihat saldo aman dan kekurangan</t>
        </is>
      </c>
      <c r="C8" s="4">
        <f>C8</f>
        <v/>
      </c>
    </row>
    <row r="9">
      <c r="A9" s="4" t="inlineStr">
        <is>
          <t>Ringkasan</t>
        </is>
      </c>
      <c r="B9" s="4" t="inlineStr">
        <is>
          <t>Total pemasukan bulan ini</t>
        </is>
      </c>
      <c r="C9" s="4">
        <f>C9</f>
        <v/>
      </c>
    </row>
    <row r="10">
      <c r="A10" s="4" t="inlineStr">
        <is>
          <t>Ringkasan</t>
        </is>
      </c>
      <c r="B10" s="4" t="inlineStr">
        <is>
          <t>Total pengeluaran bulan ini</t>
        </is>
      </c>
      <c r="C10" s="4">
        <f>C10</f>
        <v/>
      </c>
    </row>
    <row r="11">
      <c r="A11" s="4" t="inlineStr">
        <is>
          <t>Ringkasan</t>
        </is>
      </c>
      <c r="B11" s="4" t="inlineStr">
        <is>
          <t>Arus kas bersih</t>
        </is>
      </c>
      <c r="C11" s="4">
        <f>C11</f>
        <v/>
      </c>
    </row>
    <row r="12">
      <c r="A12" s="4" t="inlineStr">
        <is>
          <t>Ringkasan</t>
        </is>
      </c>
      <c r="B12" s="4" t="inlineStr">
        <is>
          <t>Total alokasi ke amplop</t>
        </is>
      </c>
      <c r="C12" s="4">
        <f>C12</f>
        <v/>
      </c>
    </row>
    <row r="13">
      <c r="A13" s="4" t="inlineStr">
        <is>
          <t>Ringkasan</t>
        </is>
      </c>
      <c r="B13" s="4" t="inlineStr">
        <is>
          <t>Sisa belum teralokasi</t>
        </is>
      </c>
      <c r="C13" s="4">
        <f>C13</f>
        <v/>
      </c>
    </row>
    <row r="14">
      <c r="A14" s="4" t="n"/>
      <c r="B14" s="4" t="n"/>
      <c r="C14" s="4">
        <f>C14</f>
        <v/>
      </c>
    </row>
    <row r="15">
      <c r="A15" s="4" t="n"/>
      <c r="B15" s="4" t="n"/>
      <c r="C15" s="4">
        <f>C15</f>
        <v/>
      </c>
    </row>
    <row r="16">
      <c r="A16" s="4" t="n"/>
      <c r="B16" s="4" t="n"/>
      <c r="C16" s="4">
        <f>C16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workbookViewId="0">
      <pane ySplit="5" topLeftCell="A6" activePane="bottomLeft" state="frozen"/>
      <selection pane="bottomLeft" activeCell="A1" sqref="A1"/>
    </sheetView>
  </sheetViews>
  <sheetFormatPr baseColWidth="8" defaultRowHeight="15"/>
  <cols>
    <col width="15" customWidth="1" min="1" max="1"/>
    <col width="23" customWidth="1" min="2" max="2"/>
    <col width="23" customWidth="1" min="3" max="3"/>
    <col width="17" customWidth="1" min="4" max="4"/>
    <col width="14" customWidth="1" min="5" max="5"/>
    <col width="17" customWidth="1" min="6" max="6"/>
    <col width="19" customWidth="1" min="7" max="7"/>
    <col width="23" customWidth="1" min="8" max="8"/>
    <col width="14" customWidth="1" min="9" max="9"/>
  </cols>
  <sheetData>
    <row r="1">
      <c r="A1" s="1" t="inlineStr">
        <is>
          <t>Transaksi</t>
        </is>
      </c>
    </row>
    <row r="2">
      <c r="A2" t="inlineStr">
        <is>
          <t>Mencatat semua arus kas masuk dan keluar agar freelancer tahu pemasukan riil, biaya operasional, dan uang yang benar-benar bisa dipakai.</t>
        </is>
      </c>
    </row>
    <row r="3">
      <c r="A3" s="2" t="inlineStr">
        <is>
          <t>Tambahkan satu baris untuk setiap transaksi. Pilih Jenis Transaksi dan Kategori. Isi nominal pada kolom yang sesuai. Kolom pemasukan hanya untuk uang masuk, kolom pengeluaran hanya untuk uang keluar. Gunakan kategori operasional untuk biaya kerja seperti internet, tools, transport kerja, atau fee platform.</t>
        </is>
      </c>
    </row>
    <row r="5">
      <c r="A5" s="3" t="inlineStr">
        <is>
          <t>Tanggal</t>
        </is>
      </c>
      <c r="B5" s="3" t="inlineStr">
        <is>
          <t>Jenis Transaksi</t>
        </is>
      </c>
      <c r="C5" s="3" t="inlineStr">
        <is>
          <t>Sumber/Kategori</t>
        </is>
      </c>
      <c r="D5" s="3" t="inlineStr">
        <is>
          <t>Deskripsi</t>
        </is>
      </c>
      <c r="E5" s="3" t="inlineStr">
        <is>
          <t>Akun</t>
        </is>
      </c>
      <c r="F5" s="3" t="inlineStr">
        <is>
          <t>Pemasukan</t>
        </is>
      </c>
      <c r="G5" s="3" t="inlineStr">
        <is>
          <t>Pengeluaran</t>
        </is>
      </c>
      <c r="H5" s="3" t="inlineStr">
        <is>
          <t>Arus Kas Bersih</t>
        </is>
      </c>
      <c r="I5" s="3" t="inlineStr">
        <is>
          <t>Bulan</t>
        </is>
      </c>
    </row>
    <row r="6">
      <c r="A6" s="4" t="inlineStr">
        <is>
          <t>2026-09-01</t>
        </is>
      </c>
      <c r="B6" s="4" t="inlineStr">
        <is>
          <t>Pemasukan</t>
        </is>
      </c>
      <c r="C6" s="4" t="inlineStr">
        <is>
          <t>Klien Retainer</t>
        </is>
      </c>
      <c r="D6" s="4" t="inlineStr">
        <is>
          <t>Pembayaran desain bulanan</t>
        </is>
      </c>
      <c r="E6" s="4" t="inlineStr">
        <is>
          <t>Bank Utama</t>
        </is>
      </c>
      <c r="F6" s="5" t="n">
        <v>6500000</v>
      </c>
      <c r="G6" s="5" t="n">
        <v>0</v>
      </c>
      <c r="H6" s="4">
        <f>F6-G6</f>
        <v/>
      </c>
      <c r="I6" s="4">
        <f>TEXT(A6,"mmmm yyyy")</f>
        <v/>
      </c>
    </row>
    <row r="7">
      <c r="A7" s="4" t="inlineStr">
        <is>
          <t>2026-09-03</t>
        </is>
      </c>
      <c r="B7" s="4" t="inlineStr">
        <is>
          <t>Pengeluaran</t>
        </is>
      </c>
      <c r="C7" s="4" t="inlineStr">
        <is>
          <t>Software/Tools</t>
        </is>
      </c>
      <c r="D7" s="4" t="inlineStr">
        <is>
          <t>Langganan Canva Pro</t>
        </is>
      </c>
      <c r="E7" s="4" t="inlineStr">
        <is>
          <t>Bank Utama</t>
        </is>
      </c>
      <c r="F7" s="5" t="n">
        <v>0</v>
      </c>
      <c r="G7" s="5" t="n">
        <v>145000</v>
      </c>
      <c r="H7" s="4">
        <f>F7-G7</f>
        <v/>
      </c>
      <c r="I7" s="4">
        <f>TEXT(A7,"mmmm yyyy")</f>
        <v/>
      </c>
    </row>
    <row r="8">
      <c r="A8" s="4" t="inlineStr">
        <is>
          <t>2026-09-05</t>
        </is>
      </c>
      <c r="B8" s="4" t="inlineStr">
        <is>
          <t>Pemasukan</t>
        </is>
      </c>
      <c r="C8" s="4" t="inlineStr">
        <is>
          <t>Proyek Sekali</t>
        </is>
      </c>
      <c r="D8" s="4" t="inlineStr">
        <is>
          <t>Landing page klien A</t>
        </is>
      </c>
      <c r="E8" s="4" t="inlineStr">
        <is>
          <t>Bank Utama</t>
        </is>
      </c>
      <c r="F8" s="5" t="n">
        <v>3200000</v>
      </c>
      <c r="G8" s="5" t="n">
        <v>0</v>
      </c>
      <c r="H8" s="4">
        <f>F8-G8</f>
        <v/>
      </c>
      <c r="I8" s="4">
        <f>TEXT(A8,"mmmm yyyy")</f>
        <v/>
      </c>
    </row>
    <row r="9">
      <c r="A9" s="4" t="inlineStr">
        <is>
          <t>2026-09-06</t>
        </is>
      </c>
      <c r="B9" s="4" t="inlineStr">
        <is>
          <t>Pengeluaran</t>
        </is>
      </c>
      <c r="C9" s="4" t="inlineStr">
        <is>
          <t>Internet</t>
        </is>
      </c>
      <c r="D9" s="4" t="inlineStr">
        <is>
          <t>Tagihan internet kerja</t>
        </is>
      </c>
      <c r="E9" s="4" t="inlineStr">
        <is>
          <t>E-Wallet</t>
        </is>
      </c>
      <c r="F9" s="5" t="n">
        <v>0</v>
      </c>
      <c r="G9" s="5" t="n">
        <v>350000</v>
      </c>
      <c r="H9" s="4">
        <f>F9-G9</f>
        <v/>
      </c>
      <c r="I9" s="4">
        <f>TEXT(A9,"mmmm yyyy")</f>
        <v/>
      </c>
    </row>
    <row r="10">
      <c r="A10" s="4" t="inlineStr">
        <is>
          <t>2026-09-10</t>
        </is>
      </c>
      <c r="B10" s="4" t="inlineStr">
        <is>
          <t>Pengeluaran</t>
        </is>
      </c>
      <c r="C10" s="4" t="inlineStr">
        <is>
          <t>Transport Kerja</t>
        </is>
      </c>
      <c r="D10" s="4" t="inlineStr">
        <is>
          <t>Meeting klien offline</t>
        </is>
      </c>
      <c r="E10" s="4" t="inlineStr">
        <is>
          <t>E-Wallet</t>
        </is>
      </c>
      <c r="F10" s="5" t="n">
        <v>0</v>
      </c>
      <c r="G10" s="5" t="n">
        <v>120000</v>
      </c>
      <c r="H10" s="4">
        <f>F10-G10</f>
        <v/>
      </c>
      <c r="I10" s="4">
        <f>TEXT(A10,"mmmm yyyy")</f>
        <v/>
      </c>
    </row>
    <row r="11">
      <c r="A11" s="4" t="inlineStr">
        <is>
          <t>2026-09-12</t>
        </is>
      </c>
      <c r="B11" s="4" t="inlineStr">
        <is>
          <t>Pemasukan</t>
        </is>
      </c>
      <c r="C11" s="4" t="inlineStr">
        <is>
          <t>Bonus</t>
        </is>
      </c>
      <c r="D11" s="4" t="inlineStr">
        <is>
          <t>Bonus revisi cepat</t>
        </is>
      </c>
      <c r="E11" s="4" t="inlineStr">
        <is>
          <t>Bank Utama</t>
        </is>
      </c>
      <c r="F11" s="5" t="n">
        <v>500000</v>
      </c>
      <c r="G11" s="5" t="n">
        <v>0</v>
      </c>
      <c r="H11" s="4">
        <f>F11-G11</f>
        <v/>
      </c>
      <c r="I11" s="4">
        <f>TEXT(A11,"mmmm yyyy")</f>
        <v/>
      </c>
    </row>
    <row r="12">
      <c r="A12" s="4" t="inlineStr">
        <is>
          <t>2026-09-15</t>
        </is>
      </c>
      <c r="B12" s="4" t="inlineStr">
        <is>
          <t>Pengeluaran</t>
        </is>
      </c>
      <c r="C12" s="4" t="inlineStr">
        <is>
          <t>Fee Platform</t>
        </is>
      </c>
      <c r="D12" s="4" t="inlineStr">
        <is>
          <t>Potongan marketplace freelance</t>
        </is>
      </c>
      <c r="E12" s="4" t="inlineStr">
        <is>
          <t>Bank Utama</t>
        </is>
      </c>
      <c r="F12" s="5" t="n">
        <v>0</v>
      </c>
      <c r="G12" s="5" t="n">
        <v>160000</v>
      </c>
      <c r="H12" s="4">
        <f>F12-G12</f>
        <v/>
      </c>
      <c r="I12" s="4">
        <f>TEXT(A12,"mmmm yyyy")</f>
        <v/>
      </c>
    </row>
    <row r="13">
      <c r="A13" s="4" t="n"/>
      <c r="B13" s="4" t="n"/>
      <c r="C13" s="4" t="n"/>
      <c r="D13" s="4" t="n"/>
      <c r="E13" s="4" t="n"/>
      <c r="F13" s="4" t="n"/>
      <c r="G13" s="4" t="n"/>
      <c r="H13" s="4">
        <f>F13-G13</f>
        <v/>
      </c>
      <c r="I13" s="4">
        <f>TEXT(A13,"mmmm yyyy")</f>
        <v/>
      </c>
    </row>
    <row r="14">
      <c r="A14" s="4" t="n"/>
      <c r="B14" s="4" t="n"/>
      <c r="C14" s="4" t="n"/>
      <c r="D14" s="4" t="n"/>
      <c r="E14" s="4" t="n"/>
      <c r="F14" s="4" t="n"/>
      <c r="G14" s="4" t="n"/>
      <c r="H14" s="4">
        <f>F14-G14</f>
        <v/>
      </c>
      <c r="I14" s="4">
        <f>TEXT(A14,"mmmm yyyy")</f>
        <v/>
      </c>
    </row>
    <row r="15">
      <c r="A15" s="4" t="n"/>
      <c r="B15" s="4" t="n"/>
      <c r="C15" s="4" t="n"/>
      <c r="D15" s="4" t="n"/>
      <c r="E15" s="4" t="n"/>
      <c r="F15" s="4" t="n"/>
      <c r="G15" s="4" t="n"/>
      <c r="H15" s="4">
        <f>F15-G15</f>
        <v/>
      </c>
      <c r="I15" s="4">
        <f>TEXT(A15,"mmmm yyyy")</f>
        <v/>
      </c>
    </row>
    <row r="17">
      <c r="A17" s="6" t="inlineStr">
        <is>
          <t>Total Pemasukan</t>
        </is>
      </c>
      <c r="E17" s="7">
        <f>SUM(F6:F15)</f>
        <v/>
      </c>
    </row>
    <row r="18">
      <c r="A18" s="6" t="inlineStr">
        <is>
          <t>Total Pengeluaran</t>
        </is>
      </c>
      <c r="F18" s="7">
        <f>SUM(G6:G15)</f>
        <v/>
      </c>
    </row>
    <row r="19">
      <c r="A19" s="6" t="inlineStr">
        <is>
          <t>Arus Kas Bersih</t>
        </is>
      </c>
      <c r="G19" s="7">
        <f>SUM(H6:H15)</f>
        <v/>
      </c>
    </row>
  </sheetData>
  <dataValidations count="3">
    <dataValidation sqref="B6:B20" showDropDown="0" showInputMessage="0" showErrorMessage="0" allowBlank="1" type="list">
      <formula1>"Pemasukan,Pengeluaran"</formula1>
    </dataValidation>
    <dataValidation sqref="C6:C20" showDropDown="0" showInputMessage="0" showErrorMessage="0" allowBlank="1" type="list">
      <formula1>"Klien Retainer,Proyek Sekali,Bonus,Fee Platform,Internet,Transport Kerja,Software/Tools,Pajak,Kebutuhan Pribadi,Tabungan,Lainnya"</formula1>
    </dataValidation>
    <dataValidation sqref="E6:E20" showDropDown="0" showInputMessage="0" showErrorMessage="0" allowBlank="1" type="list">
      <formula1>"Bank Utama,E-Wallet,Tunai,Rekening Pajak,Rekening Tabungan"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pane ySplit="5" topLeftCell="A6" activePane="bottomLeft" state="frozen"/>
      <selection pane="bottomLeft" activeCell="A1" sqref="A1"/>
    </sheetView>
  </sheetViews>
  <sheetFormatPr baseColWidth="8" defaultRowHeight="15"/>
  <cols>
    <col width="14" customWidth="1" min="1" max="1"/>
    <col width="34" customWidth="1" min="2" max="2"/>
    <col width="14" customWidth="1" min="3" max="3"/>
    <col width="21" customWidth="1" min="4" max="4"/>
    <col width="22" customWidth="1" min="5" max="5"/>
    <col width="30" customWidth="1" min="6" max="6"/>
    <col width="27" customWidth="1" min="7" max="7"/>
  </cols>
  <sheetData>
    <row r="1">
      <c r="A1" s="1" t="inlineStr">
        <is>
          <t>Alokasi Bulanan</t>
        </is>
      </c>
    </row>
    <row r="2">
      <c r="A2" t="inlineStr">
        <is>
          <t>Mengubah pemasukan bulanan menjadi pembagian otomatis ke amplop digital agar freelancer tahu berapa yang aman dipakai dan berapa yang harus disisihkan.</t>
        </is>
      </c>
    </row>
    <row r="3">
      <c r="A3" s="2" t="inlineStr">
        <is>
          <t>Buat satu baris per bulan. Isi total pemasukan bersih bulan itu. Tentukan persen target untuk setiap amplop sesuai kebutuhanmu. Jumlah persen idealnya 100%. Kolom nominal akan menghitung otomatis. Gunakan sheet ini saat sesi keuangan bulanan 30 menit.</t>
        </is>
      </c>
    </row>
    <row r="5">
      <c r="A5" s="3" t="inlineStr">
        <is>
          <t>Bulan</t>
        </is>
      </c>
      <c r="B5" s="3" t="inlineStr">
        <is>
          <t>Pemasukan Bersih Bulan Ini</t>
        </is>
      </c>
      <c r="C5" s="3" t="inlineStr">
        <is>
          <t>Amplop</t>
        </is>
      </c>
      <c r="D5" s="3" t="inlineStr">
        <is>
          <t>Persen Target</t>
        </is>
      </c>
      <c r="E5" s="3" t="inlineStr">
        <is>
          <t>Nominal Target</t>
        </is>
      </c>
      <c r="F5" s="3" t="inlineStr">
        <is>
          <t>Nominal Sudah Dipindah</t>
        </is>
      </c>
      <c r="G5" s="3" t="inlineStr">
        <is>
          <t>Sisa Harus Dipindah</t>
        </is>
      </c>
    </row>
    <row r="6">
      <c r="A6" s="4" t="inlineStr">
        <is>
          <t>September 2026</t>
        </is>
      </c>
      <c r="B6" s="5" t="n">
        <v>9425000</v>
      </c>
      <c r="C6" s="4" t="inlineStr">
        <is>
          <t>Biaya Hidup</t>
        </is>
      </c>
      <c r="D6" s="8" t="n">
        <v>0.45</v>
      </c>
      <c r="E6" s="4">
        <f>B6*D6</f>
        <v/>
      </c>
      <c r="F6" s="5" t="n">
        <v>3500000</v>
      </c>
      <c r="G6" s="4">
        <f>E6-F6</f>
        <v/>
      </c>
    </row>
    <row r="7">
      <c r="A7" s="4" t="inlineStr">
        <is>
          <t>September 2026</t>
        </is>
      </c>
      <c r="B7" s="5" t="n">
        <v>9425000</v>
      </c>
      <c r="C7" s="4" t="inlineStr">
        <is>
          <t>Operasional</t>
        </is>
      </c>
      <c r="D7" s="8" t="n">
        <v>0.15</v>
      </c>
      <c r="E7" s="4">
        <f>B7*D7</f>
        <v/>
      </c>
      <c r="F7" s="5" t="n">
        <v>800000</v>
      </c>
      <c r="G7" s="4">
        <f>E7-F7</f>
        <v/>
      </c>
    </row>
    <row r="8">
      <c r="A8" s="4" t="inlineStr">
        <is>
          <t>September 2026</t>
        </is>
      </c>
      <c r="B8" s="5" t="n">
        <v>9425000</v>
      </c>
      <c r="C8" s="4" t="inlineStr">
        <is>
          <t>Pajak</t>
        </is>
      </c>
      <c r="D8" s="8" t="n">
        <v>0.2</v>
      </c>
      <c r="E8" s="4">
        <f>B8*D8</f>
        <v/>
      </c>
      <c r="F8" s="5" t="n">
        <v>1000000</v>
      </c>
      <c r="G8" s="4">
        <f>E8-F8</f>
        <v/>
      </c>
    </row>
    <row r="9">
      <c r="A9" s="4" t="inlineStr">
        <is>
          <t>September 2026</t>
        </is>
      </c>
      <c r="B9" s="5" t="n">
        <v>9425000</v>
      </c>
      <c r="C9" s="4" t="inlineStr">
        <is>
          <t>Tabungan</t>
        </is>
      </c>
      <c r="D9" s="8" t="n">
        <v>0.1</v>
      </c>
      <c r="E9" s="4">
        <f>B9*D9</f>
        <v/>
      </c>
      <c r="F9" s="5" t="n">
        <v>500000</v>
      </c>
      <c r="G9" s="4">
        <f>E9-F9</f>
        <v/>
      </c>
    </row>
    <row r="10">
      <c r="A10" s="4" t="inlineStr">
        <is>
          <t>September 2026</t>
        </is>
      </c>
      <c r="B10" s="5" t="n">
        <v>9425000</v>
      </c>
      <c r="C10" s="4" t="inlineStr">
        <is>
          <t>Dana Tenang</t>
        </is>
      </c>
      <c r="D10" s="8" t="n">
        <v>0.1</v>
      </c>
      <c r="E10" s="4">
        <f>B10*D10</f>
        <v/>
      </c>
      <c r="F10" s="5" t="n">
        <v>250000</v>
      </c>
      <c r="G10" s="4">
        <f>E10-F10</f>
        <v/>
      </c>
    </row>
    <row r="11">
      <c r="A11" s="4" t="n"/>
      <c r="B11" s="4" t="n"/>
      <c r="C11" s="4" t="n"/>
      <c r="D11" s="4" t="n"/>
      <c r="E11" s="4">
        <f>B11*D11</f>
        <v/>
      </c>
      <c r="F11" s="4" t="n"/>
      <c r="G11" s="4">
        <f>E11-F11</f>
        <v/>
      </c>
    </row>
    <row r="12">
      <c r="A12" s="4" t="n"/>
      <c r="B12" s="4" t="n"/>
      <c r="C12" s="4" t="n"/>
      <c r="D12" s="4" t="n"/>
      <c r="E12" s="4">
        <f>B12*D12</f>
        <v/>
      </c>
      <c r="F12" s="4" t="n"/>
      <c r="G12" s="4">
        <f>E12-F12</f>
        <v/>
      </c>
    </row>
    <row r="13">
      <c r="A13" s="4" t="n"/>
      <c r="B13" s="4" t="n"/>
      <c r="C13" s="4" t="n"/>
      <c r="D13" s="4" t="n"/>
      <c r="E13" s="4">
        <f>B13*D13</f>
        <v/>
      </c>
      <c r="F13" s="4" t="n"/>
      <c r="G13" s="4">
        <f>E13-F13</f>
        <v/>
      </c>
    </row>
    <row r="15">
      <c r="A15" s="6" t="inlineStr">
        <is>
          <t>Total Persen</t>
        </is>
      </c>
      <c r="C15" s="7">
        <f>SUM(D6:D13)</f>
        <v/>
      </c>
    </row>
    <row r="16">
      <c r="A16" s="6" t="inlineStr">
        <is>
          <t>Total Nominal Target</t>
        </is>
      </c>
      <c r="D16" s="7">
        <f>SUM(E6:E13)</f>
        <v/>
      </c>
    </row>
    <row r="17">
      <c r="A17" s="6" t="inlineStr">
        <is>
          <t>Total Sudah Dipindah</t>
        </is>
      </c>
      <c r="E17" s="7">
        <f>SUM(F6:F13)</f>
        <v/>
      </c>
    </row>
    <row r="18">
      <c r="A18" s="6" t="inlineStr">
        <is>
          <t>Total Sisa</t>
        </is>
      </c>
      <c r="F18" s="7">
        <f>SUM(G6:G13)</f>
        <v/>
      </c>
    </row>
  </sheetData>
  <dataValidations count="1">
    <dataValidation sqref="C6:C18" showDropDown="0" showInputMessage="0" showErrorMessage="0" allowBlank="1" type="list">
      <formula1>"Biaya Hidup,Operasional,Pajak,Tabungan,Dana Tenang"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pane ySplit="5" topLeftCell="A6" activePane="bottomLeft" state="frozen"/>
      <selection pane="bottomLeft" activeCell="A1" sqref="A1"/>
    </sheetView>
  </sheetViews>
  <sheetFormatPr baseColWidth="8" defaultRowHeight="15"/>
  <cols>
    <col width="14" customWidth="1" min="1" max="1"/>
    <col width="24" customWidth="1" min="2" max="2"/>
    <col width="22" customWidth="1" min="3" max="3"/>
    <col width="15" customWidth="1" min="4" max="4"/>
    <col width="14" customWidth="1" min="5" max="5"/>
    <col width="17" customWidth="1" min="6" max="6"/>
  </cols>
  <sheetData>
    <row r="1">
      <c r="A1" s="1" t="inlineStr">
        <is>
          <t>Dashboard Amplop</t>
        </is>
      </c>
    </row>
    <row r="2">
      <c r="A2" t="inlineStr">
        <is>
          <t>Menampilkan saldo tiap amplop dan status aman atau belum, supaya pengguna cepat tahu prioritas keuangan bulan ini.</t>
        </is>
      </c>
    </row>
    <row r="3">
      <c r="A3" s="2" t="inlineStr">
        <is>
          <t>Sheet ini mengambil angka dari Alokasi Bulanan. Fokus pada kolom Status. Jika status masih 'Kurang', pindahkan uang sesuai nominal kekurangan. Gunakan dashboard ini untuk mengambil keputusan cepat tanpa melihat semua transaksi satu per satu.</t>
        </is>
      </c>
    </row>
    <row r="5">
      <c r="A5" s="3" t="inlineStr">
        <is>
          <t>Amplop</t>
        </is>
      </c>
      <c r="B5" s="3" t="inlineStr">
        <is>
          <t>Target Bulan Ini</t>
        </is>
      </c>
      <c r="C5" s="3" t="inlineStr">
        <is>
          <t>Sudah Dipindah</t>
        </is>
      </c>
      <c r="D5" s="3" t="inlineStr">
        <is>
          <t>Selisih</t>
        </is>
      </c>
      <c r="E5" s="3" t="inlineStr">
        <is>
          <t>Status</t>
        </is>
      </c>
      <c r="F5" s="3" t="inlineStr">
        <is>
          <t>Prioritas</t>
        </is>
      </c>
    </row>
    <row r="6">
      <c r="A6" s="4" t="inlineStr">
        <is>
          <t>Biaya Hidup</t>
        </is>
      </c>
      <c r="B6" s="4">
        <f>SUMIFS('Alokasi Bulanan'!E:E,'Alokasi Bulanan'!C:C,A2)</f>
        <v/>
      </c>
      <c r="C6" s="4">
        <f>SUMIFS('Alokasi Bulanan'!F:F,'Alokasi Bulanan'!C:C,A2)</f>
        <v/>
      </c>
      <c r="D6" s="4">
        <f>B6-C6</f>
        <v/>
      </c>
      <c r="E6" s="4">
        <f>IF(D6&lt;=0,"Aman","Kurang")</f>
        <v/>
      </c>
      <c r="F6" s="4" t="inlineStr">
        <is>
          <t>Tinggi</t>
        </is>
      </c>
    </row>
    <row r="7">
      <c r="A7" s="4" t="inlineStr">
        <is>
          <t>Operasional</t>
        </is>
      </c>
      <c r="B7" s="4">
        <f>SUMIFS('Alokasi Bulanan'!E:E,'Alokasi Bulanan'!C:C,A3)</f>
        <v/>
      </c>
      <c r="C7" s="4">
        <f>SUMIFS('Alokasi Bulanan'!F:F,'Alokasi Bulanan'!C:C,A3)</f>
        <v/>
      </c>
      <c r="D7" s="4">
        <f>B7-C7</f>
        <v/>
      </c>
      <c r="E7" s="4">
        <f>IF(D7&lt;=0,"Aman","Kurang")</f>
        <v/>
      </c>
      <c r="F7" s="4" t="inlineStr">
        <is>
          <t>Sedang</t>
        </is>
      </c>
    </row>
    <row r="8">
      <c r="A8" s="4" t="inlineStr">
        <is>
          <t>Pajak</t>
        </is>
      </c>
      <c r="B8" s="4">
        <f>SUMIFS('Alokasi Bulanan'!E:E,'Alokasi Bulanan'!C:C,A4)</f>
        <v/>
      </c>
      <c r="C8" s="4">
        <f>SUMIFS('Alokasi Bulanan'!F:F,'Alokasi Bulanan'!C:C,A4)</f>
        <v/>
      </c>
      <c r="D8" s="4">
        <f>B8-C8</f>
        <v/>
      </c>
      <c r="E8" s="4">
        <f>IF(D8&lt;=0,"Aman","Kurang")</f>
        <v/>
      </c>
      <c r="F8" s="4" t="inlineStr">
        <is>
          <t>Sangat Tinggi</t>
        </is>
      </c>
    </row>
    <row r="9">
      <c r="A9" s="4" t="inlineStr">
        <is>
          <t>Tabungan</t>
        </is>
      </c>
      <c r="B9" s="4">
        <f>SUMIFS('Alokasi Bulanan'!E:E,'Alokasi Bulanan'!C:C,A5)</f>
        <v/>
      </c>
      <c r="C9" s="4">
        <f>SUMIFS('Alokasi Bulanan'!F:F,'Alokasi Bulanan'!C:C,A5)</f>
        <v/>
      </c>
      <c r="D9" s="4">
        <f>B9-C9</f>
        <v/>
      </c>
      <c r="E9" s="4">
        <f>IF(D9&lt;=0,"Aman","Kurang")</f>
        <v/>
      </c>
      <c r="F9" s="4" t="inlineStr">
        <is>
          <t>Tinggi</t>
        </is>
      </c>
    </row>
    <row r="10">
      <c r="A10" s="4" t="inlineStr">
        <is>
          <t>Dana Tenang</t>
        </is>
      </c>
      <c r="B10" s="4">
        <f>SUMIFS('Alokasi Bulanan'!E:E,'Alokasi Bulanan'!C:C,A6)</f>
        <v/>
      </c>
      <c r="C10" s="4">
        <f>SUMIFS('Alokasi Bulanan'!F:F,'Alokasi Bulanan'!C:C,A6)</f>
        <v/>
      </c>
      <c r="D10" s="4">
        <f>B10-C10</f>
        <v/>
      </c>
      <c r="E10" s="4">
        <f>IF(D10&lt;=0,"Aman","Kurang")</f>
        <v/>
      </c>
      <c r="F10" s="4" t="inlineStr">
        <is>
          <t>Tinggi</t>
        </is>
      </c>
    </row>
    <row r="11">
      <c r="A11" s="4" t="n"/>
      <c r="B11" s="4" t="n"/>
      <c r="C11" s="4" t="n"/>
      <c r="D11" s="4">
        <f>B11-C11</f>
        <v/>
      </c>
      <c r="E11" s="4">
        <f>IF(D11&lt;=0,"Aman","Kurang")</f>
        <v/>
      </c>
      <c r="F11" s="4" t="n"/>
    </row>
    <row r="12">
      <c r="A12" s="4" t="n"/>
      <c r="B12" s="4" t="n"/>
      <c r="C12" s="4" t="n"/>
      <c r="D12" s="4">
        <f>B12-C12</f>
        <v/>
      </c>
      <c r="E12" s="4">
        <f>IF(D12&lt;=0,"Aman","Kurang")</f>
        <v/>
      </c>
      <c r="F12" s="4" t="n"/>
    </row>
    <row r="13">
      <c r="A13" s="4" t="n"/>
      <c r="B13" s="4" t="n"/>
      <c r="C13" s="4" t="n"/>
      <c r="D13" s="4">
        <f>B13-C13</f>
        <v/>
      </c>
      <c r="E13" s="4">
        <f>IF(D13&lt;=0,"Aman","Kurang")</f>
        <v/>
      </c>
      <c r="F13" s="4" t="n"/>
    </row>
    <row r="15">
      <c r="A15" s="7">
        <f>SUM(B6:B13)</f>
        <v/>
      </c>
    </row>
    <row r="16">
      <c r="A16" s="6" t="inlineStr">
        <is>
          <t>Total Sudah Dipindah</t>
        </is>
      </c>
      <c r="B16" s="7">
        <f>SUM(C6:C13)</f>
        <v/>
      </c>
    </row>
    <row r="17">
      <c r="A17" s="6" t="inlineStr">
        <is>
          <t>Total Selisih</t>
        </is>
      </c>
      <c r="C17" s="7">
        <f>SUM(D6:D13)</f>
        <v/>
      </c>
    </row>
  </sheetData>
  <dataValidations count="1">
    <dataValidation sqref="F6:F18" showDropDown="0" showInputMessage="0" showErrorMessage="0" allowBlank="1" type="list">
      <formula1>"Sangat Tinggi,Tinggi,Sedang,Rendah"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2026-09-08T08:51:30Z</dcterms:created>
  <dcterms:modified xsi:type="dcterms:W3CDTF">2026-09-08T08:51:30Z</dcterms:modified>
</cp:coreProperties>
</file>